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Completed project\"/>
    </mc:Choice>
  </mc:AlternateContent>
  <xr:revisionPtr revIDLastSave="0" documentId="13_ncr:1_{48461280-15A7-4729-A02D-ECA08F2ED9F1}" xr6:coauthVersionLast="47" xr6:coauthVersionMax="47" xr10:uidLastSave="{00000000-0000-0000-0000-000000000000}"/>
  <bookViews>
    <workbookView xWindow="-98" yWindow="-98" windowWidth="19396" windowHeight="10395" firstSheet="2" activeTab="5" xr2:uid="{8FF62ED8-A67E-423F-8325-F23DB684777C}"/>
  </bookViews>
  <sheets>
    <sheet name="Line productivity" sheetId="1" r:id="rId1"/>
    <sheet name="Line productivity worksheet 2" sheetId="10" r:id="rId2"/>
    <sheet name="Products" sheetId="8" r:id="rId3"/>
    <sheet name="Downtime factors" sheetId="3" r:id="rId4"/>
    <sheet name="Line downtime" sheetId="2" r:id="rId5"/>
    <sheet name="Dashboard" sheetId="11" r:id="rId6"/>
  </sheets>
  <definedNames>
    <definedName name="_xlnm._FilterDatabase" localSheetId="3" hidden="1">'Downtime factors'!$A$1:$E$13</definedName>
    <definedName name="_xlnm._FilterDatabase" localSheetId="0" hidden="1">'Line productivity'!$A$1:$H$39</definedName>
    <definedName name="_xlnm._FilterDatabase" localSheetId="1" hidden="1">'Line productivity worksheet 2'!$A$1:$H$39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3" i="2"/>
  <c r="C32" i="11" a="1"/>
  <c r="C32" i="11" s="1"/>
  <c r="C35" i="11" s="1"/>
  <c r="D2" i="3"/>
  <c r="D5" i="3"/>
  <c r="D10" i="3"/>
  <c r="D4" i="3"/>
  <c r="D8" i="3"/>
  <c r="D3" i="3"/>
  <c r="D6" i="3"/>
  <c r="D12" i="3"/>
  <c r="D9" i="3"/>
  <c r="D11" i="3"/>
  <c r="D7" i="3"/>
  <c r="D13" i="3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2" i="10"/>
  <c r="G34" i="11" l="1"/>
  <c r="G37" i="11"/>
  <c r="C37" i="11"/>
  <c r="D36" i="11"/>
  <c r="E35" i="11"/>
  <c r="D34" i="11"/>
  <c r="D37" i="11"/>
  <c r="F35" i="11"/>
  <c r="F34" i="11"/>
  <c r="F37" i="11"/>
  <c r="G36" i="11"/>
  <c r="C36" i="11"/>
  <c r="D35" i="11"/>
  <c r="C34" i="11"/>
  <c r="E36" i="11"/>
  <c r="E34" i="11"/>
  <c r="E37" i="11"/>
  <c r="F36" i="11"/>
  <c r="G35" i="11"/>
  <c r="E3" i="3"/>
  <c r="E2" i="3"/>
  <c r="E10" i="3"/>
  <c r="E6" i="3"/>
  <c r="E5" i="3"/>
  <c r="E12" i="3"/>
  <c r="E8" i="3"/>
  <c r="E4" i="3"/>
  <c r="E13" i="3"/>
  <c r="E9" i="3"/>
  <c r="E11" i="3"/>
  <c r="E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<sst xmlns="http://schemas.openxmlformats.org/spreadsheetml/2006/main" count="231" uniqueCount="51">
  <si>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</si>
  <si>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</si>
  <si>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</si>
  <si>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</si>
  <si>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</si>
  <si>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</si>
  <si>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</si>
  <si>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</si>
  <si>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</si>
  <si>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</si>
  <si>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</si>
  <si>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</si>
  <si>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</si>
  <si>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</si>
  <si>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</si>
  <si>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</si>
  <si>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</si>
  <si>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</si>
  <si>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</si>
  <si>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</si>
  <si>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</si>
  <si>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</si>
  <si>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</si>
  <si>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</si>
  <si>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</si>
  <si>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</si>
  <si>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</si>
  <si>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</si>
  <si>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</si>
  <si>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</si>
  <si>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</si>
  <si>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</si>
  <si>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</si>
  <si>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</si>
  <si>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</si>
  <si>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</si>
  <si>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</si>
  <si>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</si>
  <si>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</si>
  <si>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</si>
  <si>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</si>
  <si>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</si>
  <si>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</si>
  <si>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</si>
  <si>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Batch Time</t>
  </si>
  <si>
    <t>Min. Batch Time</t>
  </si>
  <si>
    <t>Row Labels</t>
  </si>
  <si>
    <t>Downtime</t>
  </si>
  <si>
    <t>Sum of Efficiency</t>
  </si>
  <si>
    <t>Efficiency of the process</t>
  </si>
  <si>
    <t>Pareto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</si>
</sst>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2D2D"/>
      <color rgb="FFFC24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[Manufacturing_Line_Productivity complete project.xlsx]Line productivity worksheet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by operator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'Line productivity worksheet 2'!$K$9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B52-419D-89E7-CF89D500B0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productivity worksheet 2'!$J$10:$J$13</c:f>
              <c:strCache>
                <c:ptCount val="4"/>
                <c:pt idx="0">
                  <c:v>Charlie</c:v>
                </c:pt>
                <c:pt idx="1">
                  <c:v>Dee</c:v>
                </c:pt>
                <c:pt idx="2">
                  <c:v>Dennis</c:v>
                </c:pt>
                <c:pt idx="3">
                  <c:v>Mac</c:v>
                </c:pt>
              </c:strCache>
            </c:strRef>
          </c:cat>
          <c:val>
            <c:numRef>
              <c:f>'Line productivity worksheet 2'!$K$10:$K$13</c:f>
              <c:numCache>
                <c:formatCode>0%</c:formatCode>
                <c:ptCount val="4"/>
                <c:pt idx="0">
                  <c:v>0.66839378238341973</c:v>
                </c:pt>
                <c:pt idx="1">
                  <c:v>0.64077669902912626</c:v>
                </c:pt>
                <c:pt idx="2">
                  <c:v>0.63170731707317074</c:v>
                </c:pt>
                <c:pt idx="3">
                  <c:v>0.60941176470588243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2-419D-89E7-CF89D500B0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313728"/>
        <c:axId val="153303328"/>
      </c:barChart>
      <c:catAx>
        <c:axId val="1533137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03328"/>
        <c:crosses val="autoZero"/>
        <c:auto val="1"/>
        <c:lblAlgn val="ctr"/>
        <c:lblOffset val="100"/>
        <c:noMultiLvlLbl val="0"/>
      </c:catAx>
      <c:valAx>
        <c:axId val="153303328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5331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'Downtime factors'!$D$1</c:f>
              <c:strCache>
                <c:ptCount val="1"/>
                <c:pt idx="0">
                  <c:v>Downtime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71-4F17-A476-304AA9316497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A71-4F17-A476-304AA9316497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71-4F17-A476-304AA9316497}"/>
              </c:ext>
            </c:extLst>
          </c:dPt>
          <c:dPt>
            <c:idx val="8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A71-4F17-A476-304AA9316497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71-4F17-A476-304AA9316497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A71-4F17-A476-304AA9316497}"/>
              </c:ext>
            </c:extLst>
          </c:dPt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71-4F17-A476-304AA931649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71-4F17-A476-304AA931649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71-4F17-A476-304AA931649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71-4F17-A476-304AA931649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71-4F17-A476-304AA931649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71-4F17-A476-304AA931649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71-4F17-A476-304AA93164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'Downtime factors'!$D$2:$D$13</c:f>
              <c:numCache>
                <c:formatCode>General</c:formatCode>
                <c:ptCount val="12"/>
                <c:pt idx="0">
                  <c:v>332</c:v>
                </c:pt>
                <c:pt idx="1">
                  <c:v>254</c:v>
                </c:pt>
                <c:pt idx="2">
                  <c:v>225</c:v>
                </c:pt>
                <c:pt idx="3">
                  <c:v>160</c:v>
                </c:pt>
                <c:pt idx="4">
                  <c:v>145</c:v>
                </c:pt>
                <c:pt idx="5">
                  <c:v>74</c:v>
                </c:pt>
                <c:pt idx="6">
                  <c:v>57</c:v>
                </c:pt>
                <c:pt idx="7">
                  <c:v>49</c:v>
                </c:pt>
                <c:pt idx="8">
                  <c:v>42</c:v>
                </c:pt>
                <c:pt idx="9">
                  <c:v>33</c:v>
                </c:pt>
                <c:pt idx="10">
                  <c:v>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1-4F17-A476-304AA93164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98841920"/>
        <c:axId val="298839008"/>
      </c:barChart>
      <c:lineChart>
        <c:grouping val="standard"/>
        <c:varyColors val="0"/>
        <c:ser>
          <c:idx val="1"/>
          <c:order val="1"/>
          <c:tx>
            <c:strRef>
              <c:f>'Downtime factors'!$E$1</c:f>
              <c:strCache>
                <c:ptCount val="1"/>
                <c:pt idx="0">
                  <c:v>Pareto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circle"/>
              <c:size val="6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9A71-4F17-A476-304AA9316497}"/>
              </c:ext>
            </c:extLst>
          </c:dPt>
          <c:dLbls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71-4F17-A476-304AA93164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'Downtime factors'!$E$2:$E$13</c:f>
              <c:numCache>
                <c:formatCode>0%</c:formatCode>
                <c:ptCount val="12"/>
                <c:pt idx="0">
                  <c:v>0.23919308357348704</c:v>
                </c:pt>
                <c:pt idx="1">
                  <c:v>0.42219020172910665</c:v>
                </c:pt>
                <c:pt idx="2">
                  <c:v>0.58429394812680113</c:v>
                </c:pt>
                <c:pt idx="3">
                  <c:v>0.69956772334293948</c:v>
                </c:pt>
                <c:pt idx="4">
                  <c:v>0.80403458213256485</c:v>
                </c:pt>
                <c:pt idx="5">
                  <c:v>0.85734870317002887</c:v>
                </c:pt>
                <c:pt idx="6">
                  <c:v>0.89841498559077815</c:v>
                </c:pt>
                <c:pt idx="7">
                  <c:v>0.93371757925072041</c:v>
                </c:pt>
                <c:pt idx="8">
                  <c:v>0.96397694524495681</c:v>
                </c:pt>
                <c:pt idx="9">
                  <c:v>0.98775216138328525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71-4F17-A476-304AA93164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8833184"/>
        <c:axId val="298838176"/>
      </c:lineChart>
      <c:catAx>
        <c:axId val="29884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39008"/>
        <c:crosses val="autoZero"/>
        <c:auto val="1"/>
        <c:lblAlgn val="ctr"/>
        <c:lblOffset val="100"/>
        <c:noMultiLvlLbl val="0"/>
      </c:catAx>
      <c:valAx>
        <c:axId val="298839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 Downtime</a:t>
                </a:r>
              </a:p>
            </c:rich>
          </c:tx>
          <c:layout>
            <c:manualLayout>
              <c:xMode val="edge"/>
              <c:yMode val="edge"/>
              <c:x val="4.1666666666666664E-2"/>
              <c:y val="0.34535505978419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41920"/>
        <c:crosses val="autoZero"/>
        <c:crossBetween val="between"/>
      </c:valAx>
      <c:valAx>
        <c:axId val="298838176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33184"/>
        <c:crosses val="max"/>
        <c:crossBetween val="between"/>
      </c:valAx>
      <c:catAx>
        <c:axId val="298833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88381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[Manufacturing_Line_Productivity complete project.xlsx]Line productivity worksheet 2!PivotTable2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'Line productivity worksheet 2'!$K$9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36-4EB9-A3C2-79B0F1F352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productivity worksheet 2'!$J$10:$J$13</c:f>
              <c:strCache>
                <c:ptCount val="4"/>
                <c:pt idx="0">
                  <c:v>Charlie</c:v>
                </c:pt>
                <c:pt idx="1">
                  <c:v>Dee</c:v>
                </c:pt>
                <c:pt idx="2">
                  <c:v>Dennis</c:v>
                </c:pt>
                <c:pt idx="3">
                  <c:v>Mac</c:v>
                </c:pt>
              </c:strCache>
            </c:strRef>
          </c:cat>
          <c:val>
            <c:numRef>
              <c:f>'Line productivity worksheet 2'!$K$10:$K$13</c:f>
              <c:numCache>
                <c:formatCode>0%</c:formatCode>
                <c:ptCount val="4"/>
                <c:pt idx="0">
                  <c:v>0.66839378238341973</c:v>
                </c:pt>
                <c:pt idx="1">
                  <c:v>0.64077669902912626</c:v>
                </c:pt>
                <c:pt idx="2">
                  <c:v>0.63170731707317074</c:v>
                </c:pt>
                <c:pt idx="3">
                  <c:v>0.60941176470588243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36-4EB9-A3C2-79B0F1F352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9"/>
        <c:axId val="153313728"/>
        <c:axId val="153303328"/>
      </c:barChart>
      <c:catAx>
        <c:axId val="1533137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03328"/>
        <c:crosses val="autoZero"/>
        <c:auto val="1"/>
        <c:lblAlgn val="ctr"/>
        <c:lblOffset val="100"/>
        <c:noMultiLvlLbl val="0"/>
      </c:catAx>
      <c:valAx>
        <c:axId val="153303328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5331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'Downtime factors'!$D$1</c:f>
              <c:strCache>
                <c:ptCount val="1"/>
                <c:pt idx="0">
                  <c:v>Downtime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6A-4584-A3C9-EE96E7A20ADA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6A-4584-A3C9-EE96E7A20AD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6A-4584-A3C9-EE96E7A20AD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B6A-4584-A3C9-EE96E7A20AD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B6A-4584-A3C9-EE96E7A20ADA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B6A-4584-A3C9-EE96E7A20ADA}"/>
              </c:ext>
            </c:extLst>
          </c:dPt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6A-4584-A3C9-EE96E7A20AD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6A-4584-A3C9-EE96E7A20AD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6A-4584-A3C9-EE96E7A20AD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6A-4584-A3C9-EE96E7A20AD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6A-4584-A3C9-EE96E7A20AD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6A-4584-A3C9-EE96E7A20AD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B6A-4584-A3C9-EE96E7A20A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'Downtime factors'!$D$2:$D$13</c:f>
              <c:numCache>
                <c:formatCode>General</c:formatCode>
                <c:ptCount val="12"/>
                <c:pt idx="0">
                  <c:v>332</c:v>
                </c:pt>
                <c:pt idx="1">
                  <c:v>254</c:v>
                </c:pt>
                <c:pt idx="2">
                  <c:v>225</c:v>
                </c:pt>
                <c:pt idx="3">
                  <c:v>160</c:v>
                </c:pt>
                <c:pt idx="4">
                  <c:v>145</c:v>
                </c:pt>
                <c:pt idx="5">
                  <c:v>74</c:v>
                </c:pt>
                <c:pt idx="6">
                  <c:v>57</c:v>
                </c:pt>
                <c:pt idx="7">
                  <c:v>49</c:v>
                </c:pt>
                <c:pt idx="8">
                  <c:v>42</c:v>
                </c:pt>
                <c:pt idx="9">
                  <c:v>33</c:v>
                </c:pt>
                <c:pt idx="10">
                  <c:v>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B6A-4584-A3C9-EE96E7A20A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98841920"/>
        <c:axId val="298839008"/>
      </c:barChart>
      <c:lineChart>
        <c:grouping val="standard"/>
        <c:varyColors val="0"/>
        <c:ser>
          <c:idx val="1"/>
          <c:order val="1"/>
          <c:tx>
            <c:strRef>
              <c:f>'Downtime factors'!$E$1</c:f>
              <c:strCache>
                <c:ptCount val="1"/>
                <c:pt idx="0">
                  <c:v>Pareto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circle"/>
              <c:size val="6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5B6A-4584-A3C9-EE96E7A20ADA}"/>
              </c:ext>
            </c:extLst>
          </c:dPt>
          <c:dLbls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B6A-4584-A3C9-EE96E7A20A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'Downtime factors'!$E$2:$E$13</c:f>
              <c:numCache>
                <c:formatCode>0%</c:formatCode>
                <c:ptCount val="12"/>
                <c:pt idx="0">
                  <c:v>0.23919308357348704</c:v>
                </c:pt>
                <c:pt idx="1">
                  <c:v>0.42219020172910665</c:v>
                </c:pt>
                <c:pt idx="2">
                  <c:v>0.58429394812680113</c:v>
                </c:pt>
                <c:pt idx="3">
                  <c:v>0.69956772334293948</c:v>
                </c:pt>
                <c:pt idx="4">
                  <c:v>0.80403458213256485</c:v>
                </c:pt>
                <c:pt idx="5">
                  <c:v>0.85734870317002887</c:v>
                </c:pt>
                <c:pt idx="6">
                  <c:v>0.89841498559077815</c:v>
                </c:pt>
                <c:pt idx="7">
                  <c:v>0.93371757925072041</c:v>
                </c:pt>
                <c:pt idx="8">
                  <c:v>0.96397694524495681</c:v>
                </c:pt>
                <c:pt idx="9">
                  <c:v>0.98775216138328525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B6A-4584-A3C9-EE96E7A20A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8833184"/>
        <c:axId val="298838176"/>
      </c:lineChart>
      <c:catAx>
        <c:axId val="29884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39008"/>
        <c:crosses val="autoZero"/>
        <c:auto val="1"/>
        <c:lblAlgn val="ctr"/>
        <c:lblOffset val="100"/>
        <c:noMultiLvlLbl val="0"/>
      </c:catAx>
      <c:valAx>
        <c:axId val="298839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 Downtime</a:t>
                </a:r>
              </a:p>
            </c:rich>
          </c:tx>
          <c:layout>
            <c:manualLayout>
              <c:xMode val="edge"/>
              <c:yMode val="edge"/>
              <c:x val="4.1666666666666664E-2"/>
              <c:y val="0.34535505978419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41920"/>
        <c:crosses val="autoZero"/>
        <c:crossBetween val="between"/>
      </c:valAx>
      <c:valAx>
        <c:axId val="298838176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33184"/>
        <c:crosses val="max"/>
        <c:crossBetween val="between"/>
      </c:valAx>
      <c:catAx>
        <c:axId val="298833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88381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484298</xdr:colOff>
      <xdr:row>13</xdr:row>
      <xdr:rowOff>130935</xdr:rowOff>
    </xdr:from>
    <xdr:to>
      <xdr:col>14</xdr:col>
      <xdr:colOff>25488</xdr:colOff>
      <xdr:row>29</xdr:row>
      <xdr:rowOff>83712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589913-3FE3-4B93-9EE9-CD029CABA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385329</xdr:colOff>
      <xdr:row>4</xdr:row>
      <xdr:rowOff>96116</xdr:rowOff>
    </xdr:from>
    <xdr:to>
      <xdr:col>14</xdr:col>
      <xdr:colOff>168851</xdr:colOff>
      <xdr:row>20</xdr:row>
      <xdr:rowOff>68407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5C450F-062E-4FE3-AFDC-F7D0282AE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87135</xdr:colOff>
      <xdr:row>9</xdr:row>
      <xdr:rowOff>158946</xdr:rowOff>
    </xdr:from>
    <xdr:to>
      <xdr:col>6</xdr:col>
      <xdr:colOff>371855</xdr:colOff>
      <xdr:row>23</xdr:row>
      <xdr:rowOff>149954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3577A-DD48-470D-8821-991660BF1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76006</xdr:colOff>
      <xdr:row>25</xdr:row>
      <xdr:rowOff>15038</xdr:rowOff>
    </xdr:from>
    <xdr:to>
      <xdr:col>10</xdr:col>
      <xdr:colOff>202848</xdr:colOff>
      <xdr:row>29</xdr:row>
      <xdr:rowOff>158746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E31AAB-925D-487F-8525-91061D6F2921}"/>
            </a:ext>
          </a:extLst>
        </xdr:cNvPr>
        <xdr:cNvSpPr txBox="1"/>
      </xdr:nvSpPr>
      <xdr:spPr>
        <a:xfrm>
          <a:off x="76006" y="4204275"/>
          <a:ext cx="7623370" cy="8139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aseline="0">
              <a:solidFill>
                <a:schemeClr val="accent1"/>
              </a:solidFill>
            </a:rPr>
            <a:t>3 of the 5 main downtime factors are due to operator error</a:t>
          </a:r>
        </a:p>
        <a:p>
          <a:r>
            <a:rPr lang="en-US" sz="1800" baseline="0">
              <a:solidFill>
                <a:schemeClr val="bg2">
                  <a:lumMod val="25000"/>
                </a:schemeClr>
              </a:solidFill>
            </a:rPr>
            <a:t>Focus should be on machine adjustment and batch change for mac.</a:t>
          </a:r>
          <a:endParaRPr lang="en-US" sz="18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 editAs="absolute">
    <xdr:from>
      <xdr:col>6</xdr:col>
      <xdr:colOff>943560</xdr:colOff>
      <xdr:row>11</xdr:row>
      <xdr:rowOff>12530</xdr:rowOff>
    </xdr:from>
    <xdr:to>
      <xdr:col>14</xdr:col>
      <xdr:colOff>308677</xdr:colOff>
      <xdr:row>24</xdr:row>
      <xdr:rowOff>44118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2263CC-C1F7-4492-9DB5-5B80839EC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6</xdr:col>
      <xdr:colOff>943560</xdr:colOff>
      <xdr:row>5</xdr:row>
      <xdr:rowOff>79395</xdr:rowOff>
    </xdr:from>
    <xdr:to>
      <xdr:col>14</xdr:col>
      <xdr:colOff>299858</xdr:colOff>
      <xdr:row>11</xdr:row>
      <xdr:rowOff>3012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AF7BF-36AF-49E9-AED9-2A6AD1A66DC6}"/>
            </a:ext>
          </a:extLst>
        </xdr:cNvPr>
        <xdr:cNvSpPr txBox="1"/>
      </xdr:nvSpPr>
      <xdr:spPr>
        <a:xfrm>
          <a:off x="5141616" y="917243"/>
          <a:ext cx="5406436" cy="9290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aseline="0">
              <a:solidFill>
                <a:schemeClr val="tx2">
                  <a:lumMod val="75000"/>
                  <a:lumOff val="25000"/>
                </a:schemeClr>
              </a:solidFill>
            </a:rPr>
            <a:t>Top 5 Factors account for 80% of the downtime.</a:t>
          </a:r>
        </a:p>
        <a:p>
          <a:r>
            <a:rPr lang="en-US" sz="1400" baseline="0">
              <a:solidFill>
                <a:schemeClr val="bg2">
                  <a:lumMod val="25000"/>
                </a:schemeClr>
              </a:solidFill>
            </a:rPr>
            <a:t>We should pay more attention to these ones.</a:t>
          </a:r>
        </a:p>
      </xdr:txBody>
    </xdr:sp>
    <xdr:clientData/>
  </xdr:twoCellAnchor>
  <xdr:twoCellAnchor>
    <xdr:from>
      <xdr:col>2</xdr:col>
      <xdr:colOff>0</xdr:colOff>
      <xdr:row>33</xdr:row>
      <xdr:rowOff>14431</xdr:rowOff>
    </xdr:from>
    <xdr:to>
      <xdr:col>3</xdr:col>
      <xdr:colOff>0</xdr:colOff>
      <xdr:row>35</xdr:row>
      <xdr:rowOff>165965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A41E0FE-6B6D-42DA-B748-C3D7EFA81CEF}"/>
            </a:ext>
          </a:extLst>
        </xdr:cNvPr>
        <xdr:cNvSpPr/>
      </xdr:nvSpPr>
      <xdr:spPr>
        <a:xfrm>
          <a:off x="1371023" y="4178011"/>
          <a:ext cx="1349375" cy="497898"/>
        </a:xfrm>
        <a:prstGeom prst="rect">
          <a:avLst/>
        </a:prstGeom>
        <a:noFill/>
        <a:ln w="38100">
          <a:solidFill>
            <a:schemeClr val="accent2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7215</xdr:colOff>
      <xdr:row>36</xdr:row>
      <xdr:rowOff>14431</xdr:rowOff>
    </xdr:from>
    <xdr:to>
      <xdr:col>6</xdr:col>
      <xdr:colOff>7216</xdr:colOff>
      <xdr:row>37</xdr:row>
      <xdr:rowOff>-1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3F209B5-B292-45CD-9A90-F04ABE70B1FE}"/>
            </a:ext>
          </a:extLst>
        </xdr:cNvPr>
        <xdr:cNvSpPr/>
      </xdr:nvSpPr>
      <xdr:spPr>
        <a:xfrm>
          <a:off x="4098636" y="4697557"/>
          <a:ext cx="685512" cy="158750"/>
        </a:xfrm>
        <a:prstGeom prst="rect">
          <a:avLst/>
        </a:prstGeom>
        <a:noFill/>
        <a:ln w="28575">
          <a:solidFill>
            <a:schemeClr val="accent2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87135</xdr:colOff>
      <xdr:row>5</xdr:row>
      <xdr:rowOff>79399</xdr:rowOff>
    </xdr:from>
    <xdr:to>
      <xdr:col>6</xdr:col>
      <xdr:colOff>370416</xdr:colOff>
      <xdr:row>9</xdr:row>
      <xdr:rowOff>150171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7CBBFCD-73A6-4EFF-909F-B5EA578E6D14}"/>
            </a:ext>
          </a:extLst>
        </xdr:cNvPr>
        <xdr:cNvSpPr txBox="1"/>
      </xdr:nvSpPr>
      <xdr:spPr>
        <a:xfrm>
          <a:off x="87135" y="917247"/>
          <a:ext cx="4481337" cy="74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solidFill>
                <a:schemeClr val="accent1"/>
              </a:solidFill>
            </a:rPr>
            <a:t>Over</a:t>
          </a:r>
          <a:r>
            <a:rPr lang="en-US" sz="2000" baseline="0">
              <a:solidFill>
                <a:schemeClr val="accent1"/>
              </a:solidFill>
            </a:rPr>
            <a:t> all Efficiency is </a:t>
          </a:r>
          <a:r>
            <a:rPr lang="en-US" sz="2000" baseline="0">
              <a:solidFill>
                <a:schemeClr val="tx2">
                  <a:lumMod val="75000"/>
                  <a:lumOff val="25000"/>
                </a:schemeClr>
              </a:solidFill>
            </a:rPr>
            <a:t>64</a:t>
          </a:r>
          <a:r>
            <a:rPr lang="en-US" sz="2000" baseline="0">
              <a:solidFill>
                <a:schemeClr val="accent1"/>
              </a:solidFill>
            </a:rPr>
            <a:t>%.</a:t>
          </a:r>
        </a:p>
        <a:p>
          <a:r>
            <a:rPr lang="en-US" sz="1800" baseline="0">
              <a:solidFill>
                <a:schemeClr val="bg2">
                  <a:lumMod val="25000"/>
                </a:schemeClr>
              </a:solidFill>
            </a:rPr>
            <a:t>Special attention should be placed on mac.</a:t>
          </a:r>
          <a:endParaRPr lang="en-US" sz="18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102463</xdr:colOff>
      <xdr:row>0</xdr:row>
      <xdr:rowOff>76788</xdr:rowOff>
    </xdr:from>
    <xdr:to>
      <xdr:col>14</xdr:col>
      <xdr:colOff>343957</xdr:colOff>
      <xdr:row>5</xdr:row>
      <xdr:rowOff>52926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07CB9E-C9DD-4F4C-9029-4410E90AF7F5}"/>
            </a:ext>
          </a:extLst>
        </xdr:cNvPr>
        <xdr:cNvSpPr txBox="1"/>
      </xdr:nvSpPr>
      <xdr:spPr>
        <a:xfrm>
          <a:off x="102463" y="76788"/>
          <a:ext cx="10489688" cy="813986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>
              <a:solidFill>
                <a:schemeClr val="bg1"/>
              </a:solidFill>
            </a:rPr>
            <a:t>Manufacturing</a:t>
          </a:r>
          <a:r>
            <a:rPr lang="en-US" sz="3200" baseline="0">
              <a:solidFill>
                <a:schemeClr val="bg1"/>
              </a:solidFill>
            </a:rPr>
            <a:t> Line Productivity Dashboard</a:t>
          </a:r>
          <a:endParaRPr lang="en-US" sz="3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238126</xdr:colOff>
      <xdr:row>24</xdr:row>
      <xdr:rowOff>158749</xdr:rowOff>
    </xdr:from>
    <xdr:to>
      <xdr:col>15</xdr:col>
      <xdr:colOff>105833</xdr:colOff>
      <xdr:row>41</xdr:row>
      <xdr:rowOff>8820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257FAD-3EE4-46BF-BDD6-0658A2CE8E04}"/>
            </a:ext>
          </a:extLst>
        </xdr:cNvPr>
        <xdr:cNvSpPr txBox="1"/>
      </xdr:nvSpPr>
      <xdr:spPr>
        <a:xfrm>
          <a:off x="7734654" y="4180416"/>
          <a:ext cx="3307290" cy="275166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accent1">
                  <a:lumMod val="75000"/>
                </a:schemeClr>
              </a:solidFill>
            </a:rPr>
            <a:t>Recommendations:</a:t>
          </a:r>
        </a:p>
        <a:p>
          <a:endParaRPr lang="en-US" sz="1600">
            <a:solidFill>
              <a:schemeClr val="accent1">
                <a:lumMod val="75000"/>
              </a:schemeClr>
            </a:solidFill>
          </a:endParaRPr>
        </a:p>
        <a:p>
          <a:r>
            <a:rPr lang="en-US" sz="1600">
              <a:solidFill>
                <a:schemeClr val="accent1">
                  <a:lumMod val="75000"/>
                </a:schemeClr>
              </a:solidFill>
            </a:rPr>
            <a:t>1).</a:t>
          </a:r>
          <a:r>
            <a:rPr lang="en-US" sz="1600" baseline="0">
              <a:solidFill>
                <a:schemeClr val="accent1">
                  <a:lumMod val="75000"/>
                </a:schemeClr>
              </a:solidFill>
            </a:rPr>
            <a:t> Start with machine adjustment training for all operators.</a:t>
          </a:r>
        </a:p>
        <a:p>
          <a:endParaRPr lang="en-US" sz="1600" baseline="0">
            <a:solidFill>
              <a:schemeClr val="accent1">
                <a:lumMod val="75000"/>
              </a:schemeClr>
            </a:solidFill>
          </a:endParaRPr>
        </a:p>
        <a:p>
          <a:r>
            <a:rPr lang="en-US" sz="1600" baseline="0">
              <a:solidFill>
                <a:schemeClr val="accent1">
                  <a:lumMod val="75000"/>
                </a:schemeClr>
              </a:solidFill>
            </a:rPr>
            <a:t>2). Provide special batch change training for mac.</a:t>
          </a:r>
        </a:p>
        <a:p>
          <a:endParaRPr lang="en-US" sz="1600" baseline="0">
            <a:solidFill>
              <a:schemeClr val="accent1">
                <a:lumMod val="75000"/>
              </a:schemeClr>
            </a:solidFill>
          </a:endParaRPr>
        </a:p>
        <a:p>
          <a:r>
            <a:rPr lang="en-US" sz="1600" baseline="0">
              <a:solidFill>
                <a:schemeClr val="accent1">
                  <a:lumMod val="75000"/>
                </a:schemeClr>
              </a:solidFill>
            </a:rPr>
            <a:t>3). Apply preventive maintenance to machines and double check</a:t>
          </a:r>
          <a:endParaRPr lang="en-US" sz="16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xai Osaruonamen" refreshedDate="45610.752605092595" createdVersion="7" refreshedVersion="7" minRefreshableVersion="3" recordCount="38" xr:uid="{AF784F17-EE76-4EB2-86A9-2FB88A894F15}">
  <cacheSource type="worksheet">
    <worksheetSource ref="A1:H39" sheet="Line productivity worksheet 2"/>
  </cacheSource>
  <cacheFields count="9">
    <cacheField name="Date" numFmtId="164">
      <sharedItems containsSemiMixedTypes="0" containsNonDate="0" containsDate="1" containsString="0" minDate="2024-08-29T00:00:00" maxDate="2024-09-04T00:00:00"/>
    </cacheField>
    <cacheField name="Product" numFmtId="0">
      <sharedItems/>
    </cacheField>
    <cacheField name="Batch" numFmtId="0">
      <sharedItems containsSemiMixedTypes="0" containsString="0" containsNumber="1" containsInteger="1" minValue="422111" maxValue="422148"/>
    </cacheField>
    <cacheField name="Operator" numFmtId="0">
      <sharedItems count="4">
        <s v="Mac"/>
        <s v="Charlie"/>
        <s v="Dee"/>
        <s v="Dennis"/>
      </sharedItems>
    </cacheField>
    <cacheField name="Start Time" numFmtId="165">
      <sharedItems containsSemiMixedTypes="0" containsNonDate="0" containsDate="1" containsString="0" minDate="1899-12-30T01:00:00" maxDate="1899-12-30T22:55:00"/>
    </cacheField>
    <cacheField name="End Time" numFmtId="165">
      <sharedItems containsSemiMixedTypes="0" containsNonDate="0" containsDate="1" containsString="0" minDate="1899-12-30T02:45:00" maxDate="1899-12-31T01:05:00"/>
    </cacheField>
    <cacheField name="Batch Time" numFmtId="0">
      <sharedItems containsSemiMixedTypes="0" containsString="0" containsNumber="1" minValue="59.999999999999943" maxValue="205.00000000000006"/>
    </cacheField>
    <cacheField name="Min. Batch Time" numFmtId="0">
      <sharedItems containsSemiMixedTypes="0" containsString="0" containsNumber="1" containsInteger="1" minValue="60" maxValue="98"/>
    </cacheField>
    <cacheField name="Efficiency" numFmtId="0" formula="'Min. Batch Time'/'Batch Tim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d v="2024-08-29T00:00:00"/>
    <s v="OR-600"/>
    <n v="422111"/>
    <x v="0"/>
    <d v="1899-12-30T11:50:00"/>
    <d v="1899-12-30T14:05:00"/>
    <n v="135"/>
    <n v="60"/>
  </r>
  <r>
    <d v="2024-08-29T00:00:00"/>
    <s v="LE-600"/>
    <n v="422112"/>
    <x v="0"/>
    <d v="1899-12-30T14:05:00"/>
    <d v="1899-12-30T15:45:00"/>
    <n v="99.999999999999972"/>
    <n v="60"/>
  </r>
  <r>
    <d v="2024-08-29T00:00:00"/>
    <s v="LE-600"/>
    <n v="422113"/>
    <x v="0"/>
    <d v="1899-12-30T15:45:00"/>
    <d v="1899-12-30T17:35:00"/>
    <n v="109.99999999999993"/>
    <n v="60"/>
  </r>
  <r>
    <d v="2024-08-29T00:00:00"/>
    <s v="LE-600"/>
    <n v="422114"/>
    <x v="0"/>
    <d v="1899-12-30T17:35:00"/>
    <d v="1899-12-30T19:15:00"/>
    <n v="99.999999999999972"/>
    <n v="60"/>
  </r>
  <r>
    <d v="2024-08-29T00:00:00"/>
    <s v="LE-600"/>
    <n v="422115"/>
    <x v="1"/>
    <d v="1899-12-30T19:15:00"/>
    <d v="1899-12-30T20:39:00"/>
    <n v="84.000000000000028"/>
    <n v="60"/>
  </r>
  <r>
    <d v="2024-08-29T00:00:00"/>
    <s v="LE-600"/>
    <n v="422116"/>
    <x v="1"/>
    <d v="1899-12-30T20:39:00"/>
    <d v="1899-12-30T21:39:00"/>
    <n v="59.999999999999943"/>
    <n v="60"/>
  </r>
  <r>
    <d v="2024-08-29T00:00:00"/>
    <s v="LE-600"/>
    <n v="422117"/>
    <x v="1"/>
    <d v="1899-12-30T21:39:00"/>
    <d v="1899-12-30T22:54:00"/>
    <n v="75.000000000000057"/>
    <n v="60"/>
  </r>
  <r>
    <d v="2024-08-30T00:00:00"/>
    <s v="CO-600"/>
    <n v="422118"/>
    <x v="2"/>
    <d v="1899-12-30T04:05:00"/>
    <d v="1899-12-30T06:05:00"/>
    <n v="119.99999999999997"/>
    <n v="60"/>
  </r>
  <r>
    <d v="2024-08-30T00:00:00"/>
    <s v="CO-600"/>
    <n v="422119"/>
    <x v="2"/>
    <d v="1899-12-30T06:05:00"/>
    <d v="1899-12-30T07:30:00"/>
    <n v="85.000000000000014"/>
    <n v="60"/>
  </r>
  <r>
    <d v="2024-08-30T00:00:00"/>
    <s v="CO-600"/>
    <n v="422120"/>
    <x v="2"/>
    <d v="1899-12-30T07:30:00"/>
    <d v="1899-12-30T09:22:00"/>
    <n v="112"/>
    <n v="60"/>
  </r>
  <r>
    <d v="2024-08-30T00:00:00"/>
    <s v="CO-600"/>
    <n v="422121"/>
    <x v="3"/>
    <d v="1899-12-30T09:22:00"/>
    <d v="1899-12-30T10:37:00"/>
    <n v="74.999999999999972"/>
    <n v="60"/>
  </r>
  <r>
    <d v="2024-08-30T00:00:00"/>
    <s v="CO-600"/>
    <n v="422122"/>
    <x v="3"/>
    <d v="1899-12-30T10:37:00"/>
    <d v="1899-12-30T12:02:00"/>
    <n v="85.000000000000014"/>
    <n v="60"/>
  </r>
  <r>
    <d v="2024-08-30T00:00:00"/>
    <s v="CO-600"/>
    <n v="422123"/>
    <x v="3"/>
    <d v="1899-12-30T12:02:00"/>
    <d v="1899-12-30T14:15:00"/>
    <n v="133"/>
    <n v="60"/>
  </r>
  <r>
    <d v="2024-08-30T00:00:00"/>
    <s v="CO-600"/>
    <n v="422124"/>
    <x v="3"/>
    <d v="1899-12-30T14:15:00"/>
    <d v="1899-12-30T15:55:00"/>
    <n v="99.999999999999972"/>
    <n v="60"/>
  </r>
  <r>
    <d v="2024-08-30T00:00:00"/>
    <s v="CO-600"/>
    <n v="422125"/>
    <x v="1"/>
    <d v="1899-12-30T15:55:00"/>
    <d v="1899-12-30T17:15:00"/>
    <n v="80.000000000000028"/>
    <n v="60"/>
  </r>
  <r>
    <d v="2024-08-30T00:00:00"/>
    <s v="CO-600"/>
    <n v="422126"/>
    <x v="1"/>
    <d v="1899-12-30T17:15:00"/>
    <d v="1899-12-30T18:59:00"/>
    <n v="103.99999999999994"/>
    <n v="60"/>
  </r>
  <r>
    <d v="2024-08-30T00:00:00"/>
    <s v="CO-600"/>
    <n v="422127"/>
    <x v="1"/>
    <d v="1899-12-30T18:59:00"/>
    <d v="1899-12-30T20:22:00"/>
    <n v="83.000000000000028"/>
    <n v="60"/>
  </r>
  <r>
    <d v="2024-08-30T00:00:00"/>
    <s v="CO-600"/>
    <n v="422128"/>
    <x v="1"/>
    <d v="1899-12-30T20:22:00"/>
    <d v="1899-12-30T22:14:00"/>
    <n v="112.00000000000007"/>
    <n v="60"/>
  </r>
  <r>
    <d v="2024-08-30T00:00:00"/>
    <s v="CO-600"/>
    <n v="422129"/>
    <x v="1"/>
    <d v="1899-12-30T22:14:00"/>
    <d v="1899-12-30T23:29:00"/>
    <n v="74.999999999999886"/>
    <n v="60"/>
  </r>
  <r>
    <d v="2024-08-31T00:00:00"/>
    <s v="CO-600"/>
    <n v="422130"/>
    <x v="2"/>
    <d v="1899-12-30T07:45:00"/>
    <d v="1899-12-30T09:05:00"/>
    <n v="79.999999999999943"/>
    <n v="60"/>
  </r>
  <r>
    <d v="2024-08-31T00:00:00"/>
    <s v="CO-600"/>
    <n v="422131"/>
    <x v="2"/>
    <d v="1899-12-30T09:05:00"/>
    <d v="1899-12-30T10:35:00"/>
    <n v="90"/>
    <n v="60"/>
  </r>
  <r>
    <d v="2024-08-31T00:00:00"/>
    <s v="CO-600"/>
    <n v="422132"/>
    <x v="2"/>
    <d v="1899-12-30T10:35:00"/>
    <d v="1899-12-30T11:35:00"/>
    <n v="60.000000000000021"/>
    <n v="60"/>
  </r>
  <r>
    <d v="2024-08-31T00:00:00"/>
    <s v="DC-600"/>
    <n v="422133"/>
    <x v="2"/>
    <d v="1899-12-30T11:35:00"/>
    <d v="1899-12-30T12:55:00"/>
    <n v="79.999999999999943"/>
    <n v="60"/>
  </r>
  <r>
    <d v="2024-08-31T00:00:00"/>
    <s v="DC-600"/>
    <n v="422134"/>
    <x v="0"/>
    <d v="1899-12-30T12:55:00"/>
    <d v="1899-12-30T14:45:00"/>
    <n v="110.0000000000001"/>
    <n v="60"/>
  </r>
  <r>
    <d v="2024-08-31T00:00:00"/>
    <s v="DC-600"/>
    <n v="422135"/>
    <x v="0"/>
    <d v="1899-12-30T14:45:00"/>
    <d v="1899-12-30T16:30:00"/>
    <n v="104.99999999999996"/>
    <n v="60"/>
  </r>
  <r>
    <d v="2024-08-31T00:00:00"/>
    <s v="DC-600"/>
    <n v="422136"/>
    <x v="0"/>
    <d v="1899-12-30T16:30:00"/>
    <d v="1899-12-30T17:30:00"/>
    <n v="59.999999999999943"/>
    <n v="60"/>
  </r>
  <r>
    <d v="2024-09-02T00:00:00"/>
    <s v="RB-600"/>
    <n v="422137"/>
    <x v="2"/>
    <d v="1899-12-30T01:00:00"/>
    <d v="1899-12-30T02:45:00"/>
    <n v="104.99999999999997"/>
    <n v="60"/>
  </r>
  <r>
    <d v="2024-09-02T00:00:00"/>
    <s v="RB-600"/>
    <n v="422138"/>
    <x v="2"/>
    <d v="1899-12-30T02:45:00"/>
    <d v="1899-12-30T04:05:00"/>
    <n v="80.000000000000014"/>
    <n v="60"/>
  </r>
  <r>
    <d v="2024-09-02T00:00:00"/>
    <s v="RB-600"/>
    <n v="422139"/>
    <x v="2"/>
    <d v="1899-12-30T04:05:00"/>
    <d v="1899-12-30T05:40:00"/>
    <n v="94.999999999999986"/>
    <n v="60"/>
  </r>
  <r>
    <d v="2024-09-02T00:00:00"/>
    <s v="RB-600"/>
    <n v="422140"/>
    <x v="2"/>
    <d v="1899-12-30T05:40:00"/>
    <d v="1899-12-30T07:43:00"/>
    <n v="123.00000000000004"/>
    <n v="60"/>
  </r>
  <r>
    <d v="2024-09-02T00:00:00"/>
    <s v="RB-600"/>
    <n v="422141"/>
    <x v="3"/>
    <d v="1899-12-30T07:43:00"/>
    <d v="1899-12-30T08:50:00"/>
    <n v="67"/>
    <n v="60"/>
  </r>
  <r>
    <d v="2024-09-02T00:00:00"/>
    <s v="RB-600"/>
    <n v="422142"/>
    <x v="3"/>
    <d v="1899-12-30T08:50:00"/>
    <d v="1899-12-30T10:20:00"/>
    <n v="90"/>
    <n v="60"/>
  </r>
  <r>
    <d v="2024-09-02T00:00:00"/>
    <s v="RB-600"/>
    <n v="422143"/>
    <x v="3"/>
    <d v="1899-12-30T10:20:00"/>
    <d v="1899-12-30T12:18:00"/>
    <n v="117.9999999999999"/>
    <n v="60"/>
  </r>
  <r>
    <d v="2024-09-02T00:00:00"/>
    <s v="CO-2L"/>
    <n v="422144"/>
    <x v="3"/>
    <d v="1899-12-30T12:18:00"/>
    <d v="1899-12-30T14:50:00"/>
    <n v="152.00000000000011"/>
    <n v="98"/>
  </r>
  <r>
    <d v="2024-09-02T00:00:00"/>
    <s v="CO-2L"/>
    <n v="422145"/>
    <x v="1"/>
    <d v="1899-12-30T14:50:00"/>
    <d v="1899-12-30T16:50:00"/>
    <n v="120.00000000000004"/>
    <n v="98"/>
  </r>
  <r>
    <d v="2024-09-02T00:00:00"/>
    <s v="CO-2L"/>
    <n v="422146"/>
    <x v="1"/>
    <d v="1899-12-30T16:50:00"/>
    <d v="1899-12-30T19:30:00"/>
    <n v="159.99999999999989"/>
    <n v="98"/>
  </r>
  <r>
    <d v="2024-09-02T00:00:00"/>
    <s v="CO-2L"/>
    <n v="422147"/>
    <x v="1"/>
    <d v="1899-12-30T19:30:00"/>
    <d v="1899-12-30T22:55:00"/>
    <n v="205.00000000000006"/>
    <n v="98"/>
  </r>
  <r>
    <d v="2024-09-03T00:00:00"/>
    <s v="CO-2L"/>
    <n v="422148"/>
    <x v="0"/>
    <d v="1899-12-30T22:55:00"/>
    <d v="1899-12-31T01:05:00"/>
    <n v="129.99999999999986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8AFEF-CB95-40C9-BD97-CCBA2915243A}" name="PivotTable2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>
  <location ref="J9:K13" firstHeaderRow="1" firstDataRow="1" firstDataCol="1"/>
  <pivotFields count="9">
    <pivotField numFmtId="164"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numFmtId="165" showAll="0"/>
    <pivotField numFmtId="165" showAll="0"/>
    <pivotField showAll="0"/>
    <pivotField showAll="0"/>
    <pivotField dataField="1" dragToRow="0" dragToCol="0" dragToPage="0" showAll="0" defaultSubtotal="0"/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Efficiency" fld="8" baseField="0" baseItem="0" numFmtId="9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83F55-DB0E-431D-ABA4-CB45093165C5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:J2" firstHeaderRow="1" firstDataRow="1" firstDataCol="0"/>
  <pivotFields count="9">
    <pivotField numFmtId="164" showAll="0"/>
    <pivotField showAll="0"/>
    <pivotField showAll="0"/>
    <pivotField showAll="0"/>
    <pivotField numFmtId="165" showAll="0"/>
    <pivotField numFmtId="165" showAll="0"/>
    <pivotField showAll="0"/>
    <pivotField showAll="0"/>
    <pivotField dataField="1" dragToRow="0" dragToCol="0" dragToPage="0" showAll="0" defaultSubtotal="0"/>
  </pivotFields>
  <rowItems count="1">
    <i/>
  </rowItems>
  <colItems count="1">
    <i/>
  </colItems>
  <dataFields count="1">
    <dataField name="Efficiency of the process" fld="8" baseField="0" baseItem="30081154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H39"/>
  <sheetViews>
    <sheetView topLeftCell="A17" workbookViewId="0">
      <selection activeCell="G1" sqref="G1:G1048576"/>
    </sheetView>
  </sheetViews>
  <sheetFormatPr defaultRowHeight="13.5"/>
  <cols>
    <col min="1" max="1" width="10.4375" bestFit="1" customWidth="1"/>
    <col min="2" max="2" width="9.5625" bestFit="1" customWidth="1"/>
    <col min="3" max="3" width="8.875" customWidth="1"/>
    <col min="4" max="4" width="9.4375" bestFit="1" customWidth="1"/>
    <col min="5" max="5" width="9.5625" bestFit="1" customWidth="1"/>
    <col min="6" max="6" width="8.875" customWidth="1"/>
    <col min="7" max="7" width="11.5625" customWidth="1"/>
    <col min="8" max="8" width="14.6875" bestFit="1" customWidth="1"/>
    <col min="9" max="11" width="8.875" customWidth="1"/>
    <col min="13" max="13" width="8.875" customWidth="1"/>
  </cols>
  <sheetData>
    <row r="1" spans="1:8" ht="13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 spans="1:8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  <c r="G2" s="4"/>
    </row>
    <row r="3" spans="1:8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  <c r="G3" s="4"/>
    </row>
    <row r="4" spans="1:8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  <c r="G4" s="4"/>
    </row>
    <row r="5" spans="1:8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  <c r="G5" s="4"/>
    </row>
    <row r="6" spans="1:8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  <c r="G6" s="4"/>
    </row>
    <row r="7" spans="1:8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  <c r="G7" s="4"/>
    </row>
    <row r="8" spans="1:8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  <c r="G8" s="4"/>
    </row>
    <row r="9" spans="1:8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  <c r="G9" s="4"/>
    </row>
    <row r="10" spans="1:8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  <c r="G10" s="4"/>
    </row>
    <row r="11" spans="1:8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  <c r="G11" s="4"/>
    </row>
    <row r="12" spans="1:8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  <c r="G12" s="4"/>
    </row>
    <row r="13" spans="1:8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  <c r="G13" s="4"/>
    </row>
    <row r="14" spans="1:8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  <c r="G14" s="4"/>
    </row>
    <row r="15" spans="1:8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  <c r="G15" s="4"/>
    </row>
    <row r="16" spans="1:8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  <c r="G16" s="4"/>
    </row>
    <row r="17" spans="1:7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  <c r="G17" s="4"/>
    </row>
    <row r="18" spans="1:7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  <c r="G18" s="4"/>
    </row>
    <row r="19" spans="1:7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  <c r="G19" s="4"/>
    </row>
    <row r="20" spans="1:7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  <c r="G20" s="4"/>
    </row>
    <row r="21" spans="1:7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  <c r="G21" s="4"/>
    </row>
    <row r="22" spans="1:7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  <c r="G22" s="4"/>
    </row>
    <row r="23" spans="1:7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  <c r="G23" s="4"/>
    </row>
    <row r="24" spans="1:7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  <c r="G24" s="4"/>
    </row>
    <row r="25" spans="1:7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  <c r="G25" s="4"/>
    </row>
    <row r="26" spans="1:7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  <c r="G26" s="4"/>
    </row>
    <row r="27" spans="1:7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  <c r="G27" s="4"/>
    </row>
    <row r="28" spans="1:7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  <c r="G28" s="4"/>
    </row>
    <row r="29" spans="1:7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  <c r="G29" s="4"/>
    </row>
    <row r="30" spans="1:7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  <c r="G30" s="4"/>
    </row>
    <row r="31" spans="1:7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  <c r="G31" s="4"/>
    </row>
    <row r="32" spans="1:7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  <c r="G32" s="4"/>
    </row>
    <row r="33" spans="1:7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  <c r="G33" s="4"/>
    </row>
    <row r="34" spans="1:7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  <c r="G34" s="4"/>
    </row>
    <row r="35" spans="1:7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  <c r="G35" s="4"/>
    </row>
    <row r="36" spans="1:7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  <c r="G36" s="4"/>
    </row>
    <row r="37" spans="1:7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  <c r="G37" s="4"/>
    </row>
    <row r="38" spans="1:7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  <c r="G38" s="4"/>
    </row>
    <row r="39" spans="1:7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  <c r="G3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A6BA-D5E6-4D79-AAE7-8B76E54EBF08}">
  <dimension ref="A1:K39"/>
  <sheetViews>
    <sheetView topLeftCell="A8" zoomScale="71" zoomScaleNormal="71" workbookViewId="0">
      <selection activeCell="K9" sqref="K9"/>
    </sheetView>
  </sheetViews>
  <sheetFormatPr defaultRowHeight="13.5"/>
  <cols>
    <col min="1" max="1" width="10.4375" bestFit="1" customWidth="1"/>
    <col min="2" max="2" width="9.5625" bestFit="1" customWidth="1"/>
    <col min="3" max="3" width="8.875" customWidth="1"/>
    <col min="4" max="4" width="9.4375" bestFit="1" customWidth="1"/>
    <col min="5" max="5" width="9.5625" bestFit="1" customWidth="1"/>
    <col min="6" max="6" width="8.875" customWidth="1"/>
    <col min="7" max="7" width="11.5625" customWidth="1"/>
    <col min="8" max="8" width="14.6875" bestFit="1" customWidth="1"/>
    <col min="9" max="9" width="8.875" customWidth="1"/>
    <col min="10" max="10" width="13.875" bestFit="1" customWidth="1"/>
    <col min="11" max="11" width="16.375" bestFit="1" customWidth="1"/>
    <col min="13" max="13" width="8.875" customWidth="1"/>
  </cols>
  <sheetData>
    <row r="1" spans="1:11" ht="13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</v>
      </c>
      <c r="H1" s="2" t="s">
        <v>45</v>
      </c>
      <c r="J1" t="s">
        <v>49</v>
      </c>
    </row>
    <row r="2" spans="1:11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  <c r="G2" s="4">
        <f>(F2-E2)*60*24</f>
        <v>135</v>
      </c>
      <c r="H2">
        <f>_xlfn.XLOOKUP(B2,Products!$A$2:$A$7,Products!$D$2:$D$7,,0)</f>
        <v>60</v>
      </c>
      <c r="J2" s="5">
        <v>0.64022809745982379</v>
      </c>
    </row>
    <row r="3" spans="1:11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  <c r="G3" s="4">
        <f t="shared" ref="G3:G39" si="0">(F3-E3)*60*24</f>
        <v>99.999999999999972</v>
      </c>
      <c r="H3">
        <f>_xlfn.XLOOKUP(B3,Products!$A$2:$A$7,Products!$D$2:$D$7,,0)</f>
        <v>60</v>
      </c>
    </row>
    <row r="4" spans="1:11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  <c r="G4" s="4">
        <f t="shared" si="0"/>
        <v>109.99999999999993</v>
      </c>
      <c r="H4">
        <f>_xlfn.XLOOKUP(B4,Products!$A$2:$A$7,Products!$D$2:$D$7,,0)</f>
        <v>60</v>
      </c>
    </row>
    <row r="5" spans="1:11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  <c r="G5" s="4">
        <f t="shared" si="0"/>
        <v>99.999999999999972</v>
      </c>
      <c r="H5">
        <f>_xlfn.XLOOKUP(B5,Products!$A$2:$A$7,Products!$D$2:$D$7,,0)</f>
        <v>60</v>
      </c>
    </row>
    <row r="6" spans="1:11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  <c r="G6" s="4">
        <f t="shared" si="0"/>
        <v>84.000000000000028</v>
      </c>
      <c r="H6">
        <f>_xlfn.XLOOKUP(B6,Products!$A$2:$A$7,Products!$D$2:$D$7,,0)</f>
        <v>60</v>
      </c>
    </row>
    <row r="7" spans="1:11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  <c r="G7" s="4">
        <f t="shared" si="0"/>
        <v>59.999999999999943</v>
      </c>
      <c r="H7">
        <f>_xlfn.XLOOKUP(B7,Products!$A$2:$A$7,Products!$D$2:$D$7,,0)</f>
        <v>60</v>
      </c>
    </row>
    <row r="8" spans="1:11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  <c r="G8" s="4">
        <f t="shared" si="0"/>
        <v>75.000000000000057</v>
      </c>
      <c r="H8">
        <f>_xlfn.XLOOKUP(B8,Products!$A$2:$A$7,Products!$D$2:$D$7,,0)</f>
        <v>60</v>
      </c>
    </row>
    <row r="9" spans="1:11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  <c r="G9" s="4">
        <f t="shared" si="0"/>
        <v>119.99999999999997</v>
      </c>
      <c r="H9">
        <f>_xlfn.XLOOKUP(B9,Products!$A$2:$A$7,Products!$D$2:$D$7,,0)</f>
        <v>60</v>
      </c>
      <c r="J9" s="6" t="s">
        <v>46</v>
      </c>
      <c r="K9" t="s">
        <v>48</v>
      </c>
    </row>
    <row r="10" spans="1:11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  <c r="G10" s="4">
        <f t="shared" si="0"/>
        <v>85.000000000000014</v>
      </c>
      <c r="H10">
        <f>_xlfn.XLOOKUP(B10,Products!$A$2:$A$7,Products!$D$2:$D$7,,0)</f>
        <v>60</v>
      </c>
      <c r="J10" s="7" t="s">
        <v>40</v>
      </c>
      <c r="K10" s="5">
        <v>0.66839378238341973</v>
      </c>
    </row>
    <row r="11" spans="1:11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  <c r="G11" s="4">
        <f t="shared" si="0"/>
        <v>112</v>
      </c>
      <c r="H11">
        <f>_xlfn.XLOOKUP(B11,Products!$A$2:$A$7,Products!$D$2:$D$7,,0)</f>
        <v>60</v>
      </c>
      <c r="J11" s="7" t="s">
        <v>41</v>
      </c>
      <c r="K11" s="5">
        <v>0.64077669902912626</v>
      </c>
    </row>
    <row r="12" spans="1:11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  <c r="G12" s="4">
        <f t="shared" si="0"/>
        <v>74.999999999999972</v>
      </c>
      <c r="H12">
        <f>_xlfn.XLOOKUP(B12,Products!$A$2:$A$7,Products!$D$2:$D$7,,0)</f>
        <v>60</v>
      </c>
      <c r="J12" s="7" t="s">
        <v>42</v>
      </c>
      <c r="K12" s="5">
        <v>0.63170731707317074</v>
      </c>
    </row>
    <row r="13" spans="1:11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  <c r="G13" s="4">
        <f t="shared" si="0"/>
        <v>85.000000000000014</v>
      </c>
      <c r="H13">
        <f>_xlfn.XLOOKUP(B13,Products!$A$2:$A$7,Products!$D$2:$D$7,,0)</f>
        <v>60</v>
      </c>
      <c r="J13" s="7" t="s">
        <v>43</v>
      </c>
      <c r="K13" s="5">
        <v>0.60941176470588243</v>
      </c>
    </row>
    <row r="14" spans="1:11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  <c r="G14" s="4">
        <f t="shared" si="0"/>
        <v>133</v>
      </c>
      <c r="H14">
        <f>_xlfn.XLOOKUP(B14,Products!$A$2:$A$7,Products!$D$2:$D$7,,0)</f>
        <v>60</v>
      </c>
    </row>
    <row r="15" spans="1:11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  <c r="G15" s="4">
        <f t="shared" si="0"/>
        <v>99.999999999999972</v>
      </c>
      <c r="H15">
        <f>_xlfn.XLOOKUP(B15,Products!$A$2:$A$7,Products!$D$2:$D$7,,0)</f>
        <v>60</v>
      </c>
    </row>
    <row r="16" spans="1:11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  <c r="G16" s="4">
        <f t="shared" si="0"/>
        <v>80.000000000000028</v>
      </c>
      <c r="H16">
        <f>_xlfn.XLOOKUP(B16,Products!$A$2:$A$7,Products!$D$2:$D$7,,0)</f>
        <v>60</v>
      </c>
    </row>
    <row r="17" spans="1:8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  <c r="G17" s="4">
        <f t="shared" si="0"/>
        <v>103.99999999999994</v>
      </c>
      <c r="H17">
        <f>_xlfn.XLOOKUP(B17,Products!$A$2:$A$7,Products!$D$2:$D$7,,0)</f>
        <v>60</v>
      </c>
    </row>
    <row r="18" spans="1:8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  <c r="G18" s="4">
        <f t="shared" si="0"/>
        <v>83.000000000000028</v>
      </c>
      <c r="H18">
        <f>_xlfn.XLOOKUP(B18,Products!$A$2:$A$7,Products!$D$2:$D$7,,0)</f>
        <v>60</v>
      </c>
    </row>
    <row r="19" spans="1:8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  <c r="G19" s="4">
        <f t="shared" si="0"/>
        <v>112.00000000000007</v>
      </c>
      <c r="H19">
        <f>_xlfn.XLOOKUP(B19,Products!$A$2:$A$7,Products!$D$2:$D$7,,0)</f>
        <v>60</v>
      </c>
    </row>
    <row r="20" spans="1:8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  <c r="G20" s="4">
        <f t="shared" si="0"/>
        <v>74.999999999999886</v>
      </c>
      <c r="H20">
        <f>_xlfn.XLOOKUP(B20,Products!$A$2:$A$7,Products!$D$2:$D$7,,0)</f>
        <v>60</v>
      </c>
    </row>
    <row r="21" spans="1:8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  <c r="G21" s="4">
        <f t="shared" si="0"/>
        <v>79.999999999999943</v>
      </c>
      <c r="H21">
        <f>_xlfn.XLOOKUP(B21,Products!$A$2:$A$7,Products!$D$2:$D$7,,0)</f>
        <v>60</v>
      </c>
    </row>
    <row r="22" spans="1:8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  <c r="G22" s="4">
        <f t="shared" si="0"/>
        <v>90</v>
      </c>
      <c r="H22">
        <f>_xlfn.XLOOKUP(B22,Products!$A$2:$A$7,Products!$D$2:$D$7,,0)</f>
        <v>60</v>
      </c>
    </row>
    <row r="23" spans="1:8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  <c r="G23" s="4">
        <f t="shared" si="0"/>
        <v>60.000000000000021</v>
      </c>
      <c r="H23">
        <f>_xlfn.XLOOKUP(B23,Products!$A$2:$A$7,Products!$D$2:$D$7,,0)</f>
        <v>60</v>
      </c>
    </row>
    <row r="24" spans="1:8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  <c r="G24" s="4">
        <f t="shared" si="0"/>
        <v>79.999999999999943</v>
      </c>
      <c r="H24">
        <f>_xlfn.XLOOKUP(B24,Products!$A$2:$A$7,Products!$D$2:$D$7,,0)</f>
        <v>60</v>
      </c>
    </row>
    <row r="25" spans="1:8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  <c r="G25" s="4">
        <f t="shared" si="0"/>
        <v>110.0000000000001</v>
      </c>
      <c r="H25">
        <f>_xlfn.XLOOKUP(B25,Products!$A$2:$A$7,Products!$D$2:$D$7,,0)</f>
        <v>60</v>
      </c>
    </row>
    <row r="26" spans="1:8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  <c r="G26" s="4">
        <f t="shared" si="0"/>
        <v>104.99999999999996</v>
      </c>
      <c r="H26">
        <f>_xlfn.XLOOKUP(B26,Products!$A$2:$A$7,Products!$D$2:$D$7,,0)</f>
        <v>60</v>
      </c>
    </row>
    <row r="27" spans="1:8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  <c r="G27" s="4">
        <f t="shared" si="0"/>
        <v>59.999999999999943</v>
      </c>
      <c r="H27">
        <f>_xlfn.XLOOKUP(B27,Products!$A$2:$A$7,Products!$D$2:$D$7,,0)</f>
        <v>60</v>
      </c>
    </row>
    <row r="28" spans="1:8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  <c r="G28" s="4">
        <f t="shared" si="0"/>
        <v>104.99999999999997</v>
      </c>
      <c r="H28">
        <f>_xlfn.XLOOKUP(B28,Products!$A$2:$A$7,Products!$D$2:$D$7,,0)</f>
        <v>60</v>
      </c>
    </row>
    <row r="29" spans="1:8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  <c r="G29" s="4">
        <f t="shared" si="0"/>
        <v>80.000000000000014</v>
      </c>
      <c r="H29">
        <f>_xlfn.XLOOKUP(B29,Products!$A$2:$A$7,Products!$D$2:$D$7,,0)</f>
        <v>60</v>
      </c>
    </row>
    <row r="30" spans="1:8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  <c r="G30" s="4">
        <f t="shared" si="0"/>
        <v>94.999999999999986</v>
      </c>
      <c r="H30">
        <f>_xlfn.XLOOKUP(B30,Products!$A$2:$A$7,Products!$D$2:$D$7,,0)</f>
        <v>60</v>
      </c>
    </row>
    <row r="31" spans="1:8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  <c r="G31" s="4">
        <f t="shared" si="0"/>
        <v>123.00000000000004</v>
      </c>
      <c r="H31">
        <f>_xlfn.XLOOKUP(B31,Products!$A$2:$A$7,Products!$D$2:$D$7,,0)</f>
        <v>60</v>
      </c>
    </row>
    <row r="32" spans="1:8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  <c r="G32" s="4">
        <f t="shared" si="0"/>
        <v>67</v>
      </c>
      <c r="H32">
        <f>_xlfn.XLOOKUP(B32,Products!$A$2:$A$7,Products!$D$2:$D$7,,0)</f>
        <v>60</v>
      </c>
    </row>
    <row r="33" spans="1:8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  <c r="G33" s="4">
        <f t="shared" si="0"/>
        <v>90</v>
      </c>
      <c r="H33">
        <f>_xlfn.XLOOKUP(B33,Products!$A$2:$A$7,Products!$D$2:$D$7,,0)</f>
        <v>60</v>
      </c>
    </row>
    <row r="34" spans="1:8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  <c r="G34" s="4">
        <f t="shared" si="0"/>
        <v>117.9999999999999</v>
      </c>
      <c r="H34">
        <f>_xlfn.XLOOKUP(B34,Products!$A$2:$A$7,Products!$D$2:$D$7,,0)</f>
        <v>60</v>
      </c>
    </row>
    <row r="35" spans="1:8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  <c r="G35" s="4">
        <f t="shared" si="0"/>
        <v>152.00000000000011</v>
      </c>
      <c r="H35">
        <f>_xlfn.XLOOKUP(B35,Products!$A$2:$A$7,Products!$D$2:$D$7,,0)</f>
        <v>98</v>
      </c>
    </row>
    <row r="36" spans="1:8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  <c r="G36" s="4">
        <f t="shared" si="0"/>
        <v>120.00000000000004</v>
      </c>
      <c r="H36">
        <f>_xlfn.XLOOKUP(B36,Products!$A$2:$A$7,Products!$D$2:$D$7,,0)</f>
        <v>98</v>
      </c>
    </row>
    <row r="37" spans="1:8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  <c r="G37" s="4">
        <f t="shared" si="0"/>
        <v>159.99999999999989</v>
      </c>
      <c r="H37">
        <f>_xlfn.XLOOKUP(B37,Products!$A$2:$A$7,Products!$D$2:$D$7,,0)</f>
        <v>98</v>
      </c>
    </row>
    <row r="38" spans="1:8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  <c r="G38" s="4">
        <f t="shared" si="0"/>
        <v>205.00000000000006</v>
      </c>
      <c r="H38">
        <f>_xlfn.XLOOKUP(B38,Products!$A$2:$A$7,Products!$D$2:$D$7,,0)</f>
        <v>98</v>
      </c>
    </row>
    <row r="39" spans="1:8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  <c r="G39" s="4">
        <f t="shared" si="0"/>
        <v>129.99999999999986</v>
      </c>
      <c r="H39">
        <f>_xlfn.XLOOKUP(B39,Products!$A$2:$A$7,Products!$D$2:$D$7,,0)</f>
        <v>98</v>
      </c>
    </row>
  </sheetData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/>
  </sheetViews>
  <sheetFormatPr defaultRowHeight="13.5"/>
  <cols>
    <col min="2" max="2" width="11.125" bestFit="1" customWidth="1"/>
    <col min="4" max="4" width="14.4375" bestFit="1" customWidth="1"/>
  </cols>
  <sheetData>
    <row r="1" spans="1:4" ht="13.9">
      <c r="A1" s="2" t="s">
        <v>1</v>
      </c>
      <c r="B1" s="2" t="s">
        <v>30</v>
      </c>
      <c r="C1" s="2" t="s">
        <v>31</v>
      </c>
      <c r="D1" s="2" t="s">
        <v>39</v>
      </c>
    </row>
    <row r="2" spans="1:4">
      <c r="A2" t="s">
        <v>24</v>
      </c>
      <c r="B2" t="s">
        <v>32</v>
      </c>
      <c r="C2" t="s">
        <v>38</v>
      </c>
      <c r="D2">
        <v>60</v>
      </c>
    </row>
    <row r="3" spans="1:4">
      <c r="A3" t="s">
        <v>25</v>
      </c>
      <c r="B3" t="s">
        <v>33</v>
      </c>
      <c r="C3" t="s">
        <v>38</v>
      </c>
      <c r="D3">
        <v>60</v>
      </c>
    </row>
    <row r="4" spans="1:4">
      <c r="A4" t="s">
        <v>26</v>
      </c>
      <c r="B4" t="s">
        <v>34</v>
      </c>
      <c r="C4" t="s">
        <v>38</v>
      </c>
      <c r="D4">
        <v>60</v>
      </c>
    </row>
    <row r="5" spans="1:4">
      <c r="A5" t="s">
        <v>27</v>
      </c>
      <c r="B5" t="s">
        <v>35</v>
      </c>
      <c r="C5" t="s">
        <v>38</v>
      </c>
      <c r="D5">
        <v>60</v>
      </c>
    </row>
    <row r="6" spans="1:4">
      <c r="A6" t="s">
        <v>28</v>
      </c>
      <c r="B6" t="s">
        <v>36</v>
      </c>
      <c r="C6" t="s">
        <v>38</v>
      </c>
      <c r="D6">
        <v>60</v>
      </c>
    </row>
    <row r="7" spans="1:4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E13"/>
  <sheetViews>
    <sheetView zoomScale="55" zoomScaleNormal="55" workbookViewId="0">
      <selection activeCell="D1" activeCellId="1" sqref="B1:B13 D1:E13"/>
    </sheetView>
  </sheetViews>
  <sheetFormatPr defaultRowHeight="13.5"/>
  <cols>
    <col min="1" max="1" width="8.875" customWidth="1"/>
    <col min="2" max="2" width="19.3125" bestFit="1" customWidth="1"/>
    <col min="3" max="3" width="14" bestFit="1" customWidth="1"/>
    <col min="4" max="4" width="19.25" customWidth="1"/>
    <col min="5" max="5" width="16.625" customWidth="1"/>
  </cols>
  <sheetData>
    <row r="1" spans="1:5" ht="13.9">
      <c r="A1" s="2" t="s">
        <v>6</v>
      </c>
      <c r="B1" s="2" t="s">
        <v>22</v>
      </c>
      <c r="C1" s="2" t="s">
        <v>7</v>
      </c>
      <c r="D1" s="2" t="s">
        <v>47</v>
      </c>
      <c r="E1" s="2" t="s">
        <v>50</v>
      </c>
    </row>
    <row r="2" spans="1:5">
      <c r="A2">
        <v>6</v>
      </c>
      <c r="B2" t="s">
        <v>9</v>
      </c>
      <c r="C2" t="s">
        <v>21</v>
      </c>
      <c r="D2">
        <f>SUM(INDEX('Line downtime'!$C$3:$O$40,,MATCH($A2,'Line downtime'!$C$2:$N$2,0)))</f>
        <v>332</v>
      </c>
      <c r="E2" s="8">
        <f>SUM($D$2:D2)/SUM($D$2:$D$13)</f>
        <v>0.23919308357348704</v>
      </c>
    </row>
    <row r="3" spans="1:5">
      <c r="A3">
        <v>7</v>
      </c>
      <c r="B3" t="s">
        <v>12</v>
      </c>
      <c r="C3" t="s">
        <v>20</v>
      </c>
      <c r="D3">
        <f>SUM(INDEX('Line downtime'!$C$3:$O$40,,MATCH($A3,'Line downtime'!$C$2:$N$2,0)))</f>
        <v>254</v>
      </c>
      <c r="E3" s="8">
        <f>SUM($D$2:D3)/SUM($D$2:$D$13)</f>
        <v>0.42219020172910665</v>
      </c>
    </row>
    <row r="4" spans="1:5">
      <c r="A4">
        <v>4</v>
      </c>
      <c r="B4" t="s">
        <v>14</v>
      </c>
      <c r="C4" t="s">
        <v>20</v>
      </c>
      <c r="D4">
        <f>SUM(INDEX('Line downtime'!$C$3:$O$40,,MATCH($A4,'Line downtime'!$C$2:$N$2,0)))</f>
        <v>225</v>
      </c>
      <c r="E4" s="8">
        <f>SUM($D$2:D4)/SUM($D$2:$D$13)</f>
        <v>0.58429394812680113</v>
      </c>
    </row>
    <row r="5" spans="1:5">
      <c r="A5">
        <v>2</v>
      </c>
      <c r="B5" t="s">
        <v>8</v>
      </c>
      <c r="C5" t="s">
        <v>21</v>
      </c>
      <c r="D5">
        <f>SUM(INDEX('Line downtime'!$C$3:$O$40,,MATCH($A5,'Line downtime'!$C$2:$N$2,0)))</f>
        <v>160</v>
      </c>
      <c r="E5" s="8">
        <f>SUM($D$2:D5)/SUM($D$2:$D$13)</f>
        <v>0.69956772334293948</v>
      </c>
    </row>
    <row r="6" spans="1:5">
      <c r="A6">
        <v>8</v>
      </c>
      <c r="B6" t="s">
        <v>13</v>
      </c>
      <c r="C6" t="s">
        <v>21</v>
      </c>
      <c r="D6">
        <f>SUM(INDEX('Line downtime'!$C$3:$O$40,,MATCH($A6,'Line downtime'!$C$2:$N$2,0)))</f>
        <v>145</v>
      </c>
      <c r="E6" s="8">
        <f>SUM($D$2:D6)/SUM($D$2:$D$13)</f>
        <v>0.80403458213256485</v>
      </c>
    </row>
    <row r="7" spans="1:5">
      <c r="A7">
        <v>12</v>
      </c>
      <c r="B7" t="s">
        <v>16</v>
      </c>
      <c r="C7" t="s">
        <v>20</v>
      </c>
      <c r="D7">
        <f>SUM(INDEX('Line downtime'!$C$3:$O$40,,MATCH($A7,'Line downtime'!$C$2:$N$2,0)))</f>
        <v>74</v>
      </c>
      <c r="E7" s="8">
        <f>SUM($D$2:D7)/SUM($D$2:$D$13)</f>
        <v>0.85734870317002887</v>
      </c>
    </row>
    <row r="8" spans="1:5">
      <c r="A8">
        <v>5</v>
      </c>
      <c r="B8" t="s">
        <v>10</v>
      </c>
      <c r="C8" t="s">
        <v>21</v>
      </c>
      <c r="D8">
        <f>SUM(INDEX('Line downtime'!$C$3:$O$40,,MATCH($A8,'Line downtime'!$C$2:$N$2,0)))</f>
        <v>57</v>
      </c>
      <c r="E8" s="8">
        <f>SUM($D$2:D8)/SUM($D$2:$D$13)</f>
        <v>0.89841498559077815</v>
      </c>
    </row>
    <row r="9" spans="1:5">
      <c r="A9">
        <v>10</v>
      </c>
      <c r="B9" t="s">
        <v>18</v>
      </c>
      <c r="C9" t="s">
        <v>21</v>
      </c>
      <c r="D9">
        <f>SUM(INDEX('Line downtime'!$C$3:$O$40,,MATCH($A9,'Line downtime'!$C$2:$N$2,0)))</f>
        <v>49</v>
      </c>
      <c r="E9" s="8">
        <f>SUM($D$2:D9)/SUM($D$2:$D$13)</f>
        <v>0.93371757925072041</v>
      </c>
    </row>
    <row r="10" spans="1:5">
      <c r="A10">
        <v>3</v>
      </c>
      <c r="B10" t="s">
        <v>19</v>
      </c>
      <c r="C10" t="s">
        <v>20</v>
      </c>
      <c r="D10">
        <f>SUM(INDEX('Line downtime'!$C$3:$O$40,,MATCH($A10,'Line downtime'!$C$2:$N$2,0)))</f>
        <v>42</v>
      </c>
      <c r="E10" s="8">
        <f>SUM($D$2:D10)/SUM($D$2:$D$13)</f>
        <v>0.96397694524495681</v>
      </c>
    </row>
    <row r="11" spans="1:5">
      <c r="A11">
        <v>11</v>
      </c>
      <c r="B11" t="s">
        <v>11</v>
      </c>
      <c r="C11" t="s">
        <v>21</v>
      </c>
      <c r="D11">
        <f>SUM(INDEX('Line downtime'!$C$3:$O$40,,MATCH($A11,'Line downtime'!$C$2:$N$2,0)))</f>
        <v>33</v>
      </c>
      <c r="E11" s="8">
        <f>SUM($D$2:D11)/SUM($D$2:$D$13)</f>
        <v>0.98775216138328525</v>
      </c>
    </row>
    <row r="12" spans="1:5">
      <c r="A12">
        <v>9</v>
      </c>
      <c r="B12" t="s">
        <v>15</v>
      </c>
      <c r="C12" t="s">
        <v>20</v>
      </c>
      <c r="D12">
        <f>SUM(INDEX('Line downtime'!$C$3:$O$40,,MATCH($A12,'Line downtime'!$C$2:$N$2,0)))</f>
        <v>17</v>
      </c>
      <c r="E12" s="8">
        <f>SUM($D$2:D12)/SUM($D$2:$D$13)</f>
        <v>1</v>
      </c>
    </row>
    <row r="13" spans="1:5">
      <c r="A13">
        <v>1</v>
      </c>
      <c r="B13" t="s">
        <v>17</v>
      </c>
      <c r="C13" t="s">
        <v>20</v>
      </c>
      <c r="D13">
        <f>SUM(INDEX('Line downtime'!$C$3:$O$40,,MATCH($A13,'Line downtime'!$C$2:$N$2,0)))</f>
        <v>0</v>
      </c>
      <c r="E13" s="8">
        <f>SUM($D$2:D13)/SUM($D$2:$D$13)</f>
        <v>1</v>
      </c>
    </row>
  </sheetData>
  <autoFilter ref="A1:E13" xr:uid="{4EB7156D-DBB5-4EA9-A733-8897AD1035D5}">
    <sortState xmlns:xlrd2="http://schemas.microsoft.com/office/spreadsheetml/2017/richdata2" ref="A2:E13">
      <sortCondition descending="1" ref="D1:D13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N40"/>
  <sheetViews>
    <sheetView zoomScale="50" zoomScaleNormal="50" workbookViewId="0">
      <selection activeCell="B3" sqref="B3:B40"/>
    </sheetView>
  </sheetViews>
  <sheetFormatPr defaultRowHeight="13.5"/>
  <cols>
    <col min="1" max="2" width="8.875" customWidth="1"/>
    <col min="3" max="14" width="5.5625" customWidth="1"/>
  </cols>
  <sheetData>
    <row r="1" spans="1:14" ht="13.9">
      <c r="C1" s="12" t="s">
        <v>23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3.9">
      <c r="A2" s="2" t="s">
        <v>2</v>
      </c>
      <c r="B2" s="2" t="s">
        <v>3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</row>
    <row r="3" spans="1:14">
      <c r="A3">
        <v>422111</v>
      </c>
      <c r="B3" t="str">
        <f>_xlfn.XLOOKUP(A3,'Line productivity'!$C$2:$C$39,'Line productivity'!$D$2:$D$39,,0)</f>
        <v>Mac</v>
      </c>
      <c r="D3">
        <v>60</v>
      </c>
      <c r="I3">
        <v>15</v>
      </c>
    </row>
    <row r="4" spans="1:14">
      <c r="A4">
        <v>422112</v>
      </c>
      <c r="B4" t="str">
        <f>_xlfn.XLOOKUP(A4,'Line productivity'!$C$2:$C$39,'Line productivity'!$D$2:$D$39,,0)</f>
        <v>Mac</v>
      </c>
      <c r="D4">
        <v>20</v>
      </c>
      <c r="J4">
        <v>20</v>
      </c>
    </row>
    <row r="5" spans="1:14">
      <c r="A5">
        <v>422113</v>
      </c>
      <c r="B5" t="str">
        <f>_xlfn.XLOOKUP(A5,'Line productivity'!$C$2:$C$39,'Line productivity'!$D$2:$D$39,,0)</f>
        <v>Mac</v>
      </c>
      <c r="D5">
        <v>50</v>
      </c>
    </row>
    <row r="6" spans="1:14">
      <c r="A6">
        <v>422114</v>
      </c>
      <c r="B6" t="str">
        <f>_xlfn.XLOOKUP(A6,'Line productivity'!$C$2:$C$39,'Line productivity'!$D$2:$D$39,,0)</f>
        <v>Mac</v>
      </c>
      <c r="F6">
        <v>25</v>
      </c>
      <c r="H6">
        <v>15</v>
      </c>
    </row>
    <row r="7" spans="1:14">
      <c r="A7">
        <v>422115</v>
      </c>
      <c r="B7" t="str">
        <f>_xlfn.XLOOKUP(A7,'Line productivity'!$C$2:$C$39,'Line productivity'!$D$2:$D$39,,0)</f>
        <v>Charlie</v>
      </c>
      <c r="L7">
        <v>24</v>
      </c>
    </row>
    <row r="8" spans="1:14">
      <c r="A8">
        <v>422116</v>
      </c>
      <c r="B8" t="str">
        <f>_xlfn.XLOOKUP(A8,'Line productivity'!$C$2:$C$39,'Line productivity'!$D$2:$D$39,,0)</f>
        <v>Charlie</v>
      </c>
    </row>
    <row r="9" spans="1:14">
      <c r="A9">
        <v>422117</v>
      </c>
      <c r="B9" t="str">
        <f>_xlfn.XLOOKUP(A9,'Line productivity'!$C$2:$C$39,'Line productivity'!$D$2:$D$39,,0)</f>
        <v>Charlie</v>
      </c>
      <c r="D9">
        <v>10</v>
      </c>
      <c r="H9">
        <v>5</v>
      </c>
    </row>
    <row r="10" spans="1:14">
      <c r="A10">
        <v>422118</v>
      </c>
      <c r="B10" t="str">
        <f>_xlfn.XLOOKUP(A10,'Line productivity'!$C$2:$C$39,'Line productivity'!$D$2:$D$39,,0)</f>
        <v>Dee</v>
      </c>
      <c r="H10">
        <v>14</v>
      </c>
      <c r="I10">
        <v>16</v>
      </c>
      <c r="M10">
        <v>10</v>
      </c>
      <c r="N10">
        <v>20</v>
      </c>
    </row>
    <row r="11" spans="1:14">
      <c r="A11">
        <v>422119</v>
      </c>
      <c r="B11" t="str">
        <f>_xlfn.XLOOKUP(A11,'Line productivity'!$C$2:$C$39,'Line productivity'!$D$2:$D$39,,0)</f>
        <v>Dee</v>
      </c>
      <c r="F11">
        <v>25</v>
      </c>
    </row>
    <row r="12" spans="1:14">
      <c r="A12">
        <v>422120</v>
      </c>
      <c r="B12" t="str">
        <f>_xlfn.XLOOKUP(A12,'Line productivity'!$C$2:$C$39,'Line productivity'!$D$2:$D$39,,0)</f>
        <v>Dee</v>
      </c>
      <c r="F12">
        <v>20</v>
      </c>
      <c r="G12">
        <v>15</v>
      </c>
      <c r="K12">
        <v>17</v>
      </c>
    </row>
    <row r="13" spans="1:14">
      <c r="A13">
        <v>422121</v>
      </c>
      <c r="B13" t="str">
        <f>_xlfn.XLOOKUP(A13,'Line productivity'!$C$2:$C$39,'Line productivity'!$D$2:$D$39,,0)</f>
        <v>Dennis</v>
      </c>
      <c r="I13">
        <v>15</v>
      </c>
    </row>
    <row r="14" spans="1:14">
      <c r="A14">
        <v>422122</v>
      </c>
      <c r="B14" t="str">
        <f>_xlfn.XLOOKUP(A14,'Line productivity'!$C$2:$C$39,'Line productivity'!$D$2:$D$39,,0)</f>
        <v>Dennis</v>
      </c>
      <c r="I14">
        <v>25</v>
      </c>
    </row>
    <row r="15" spans="1:14">
      <c r="A15">
        <v>422123</v>
      </c>
      <c r="B15" t="str">
        <f>_xlfn.XLOOKUP(A15,'Line productivity'!$C$2:$C$39,'Line productivity'!$D$2:$D$39,,0)</f>
        <v>Dennis</v>
      </c>
      <c r="F15">
        <v>43</v>
      </c>
      <c r="I15">
        <v>30</v>
      </c>
    </row>
    <row r="16" spans="1:14">
      <c r="A16">
        <v>422124</v>
      </c>
      <c r="B16" t="str">
        <f>_xlfn.XLOOKUP(A16,'Line productivity'!$C$2:$C$39,'Line productivity'!$D$2:$D$39,,0)</f>
        <v>Dennis</v>
      </c>
      <c r="G16">
        <v>20</v>
      </c>
      <c r="H16">
        <v>20</v>
      </c>
    </row>
    <row r="17" spans="1:14">
      <c r="A17">
        <v>422125</v>
      </c>
      <c r="B17" t="str">
        <f>_xlfn.XLOOKUP(A17,'Line productivity'!$C$2:$C$39,'Line productivity'!$D$2:$D$39,,0)</f>
        <v>Charlie</v>
      </c>
      <c r="M17">
        <v>10</v>
      </c>
      <c r="N17">
        <v>10</v>
      </c>
    </row>
    <row r="18" spans="1:14">
      <c r="A18">
        <v>422126</v>
      </c>
      <c r="B18" t="str">
        <f>_xlfn.XLOOKUP(A18,'Line productivity'!$C$2:$C$39,'Line productivity'!$D$2:$D$39,,0)</f>
        <v>Charlie</v>
      </c>
      <c r="J18">
        <v>44</v>
      </c>
    </row>
    <row r="19" spans="1:14">
      <c r="A19">
        <v>422127</v>
      </c>
      <c r="B19" t="str">
        <f>_xlfn.XLOOKUP(A19,'Line productivity'!$C$2:$C$39,'Line productivity'!$D$2:$D$39,,0)</f>
        <v>Charlie</v>
      </c>
      <c r="H19">
        <v>23</v>
      </c>
    </row>
    <row r="20" spans="1:14">
      <c r="A20">
        <v>422128</v>
      </c>
      <c r="B20" t="str">
        <f>_xlfn.XLOOKUP(A20,'Line productivity'!$C$2:$C$39,'Line productivity'!$D$2:$D$39,,0)</f>
        <v>Charlie</v>
      </c>
      <c r="G20">
        <v>22</v>
      </c>
      <c r="I20">
        <v>30</v>
      </c>
    </row>
    <row r="21" spans="1:14">
      <c r="A21">
        <v>422129</v>
      </c>
      <c r="B21" t="str">
        <f>_xlfn.XLOOKUP(A21,'Line productivity'!$C$2:$C$39,'Line productivity'!$D$2:$D$39,,0)</f>
        <v>Charlie</v>
      </c>
      <c r="N21">
        <v>15</v>
      </c>
    </row>
    <row r="22" spans="1:14">
      <c r="A22">
        <v>422130</v>
      </c>
      <c r="B22" t="str">
        <f>_xlfn.XLOOKUP(A22,'Line productivity'!$C$2:$C$39,'Line productivity'!$D$2:$D$39,,0)</f>
        <v>Dee</v>
      </c>
      <c r="D22">
        <v>20</v>
      </c>
    </row>
    <row r="23" spans="1:14">
      <c r="A23">
        <v>422131</v>
      </c>
      <c r="B23" t="str">
        <f>_xlfn.XLOOKUP(A23,'Line productivity'!$C$2:$C$39,'Line productivity'!$D$2:$D$39,,0)</f>
        <v>Dee</v>
      </c>
      <c r="F23">
        <v>20</v>
      </c>
      <c r="L23">
        <v>10</v>
      </c>
    </row>
    <row r="24" spans="1:14">
      <c r="A24">
        <v>422132</v>
      </c>
      <c r="B24" t="str">
        <f>_xlfn.XLOOKUP(A24,'Line productivity'!$C$2:$C$39,'Line productivity'!$D$2:$D$39,,0)</f>
        <v>Dee</v>
      </c>
    </row>
    <row r="25" spans="1:14">
      <c r="A25">
        <v>422133</v>
      </c>
      <c r="B25" t="str">
        <f>_xlfn.XLOOKUP(A25,'Line productivity'!$C$2:$C$39,'Line productivity'!$D$2:$D$39,,0)</f>
        <v>Dee</v>
      </c>
      <c r="I25">
        <v>20</v>
      </c>
    </row>
    <row r="26" spans="1:14">
      <c r="A26">
        <v>422134</v>
      </c>
      <c r="B26" t="str">
        <f>_xlfn.XLOOKUP(A26,'Line productivity'!$C$2:$C$39,'Line productivity'!$D$2:$D$39,,0)</f>
        <v>Mac</v>
      </c>
      <c r="I26">
        <v>30</v>
      </c>
      <c r="J26">
        <v>20</v>
      </c>
    </row>
    <row r="27" spans="1:14">
      <c r="A27">
        <v>422135</v>
      </c>
      <c r="B27" t="str">
        <f>_xlfn.XLOOKUP(A27,'Line productivity'!$C$2:$C$39,'Line productivity'!$D$2:$D$39,,0)</f>
        <v>Mac</v>
      </c>
      <c r="F27">
        <v>30</v>
      </c>
      <c r="N27">
        <v>15</v>
      </c>
    </row>
    <row r="28" spans="1:14">
      <c r="A28">
        <v>422136</v>
      </c>
      <c r="B28" t="str">
        <f>_xlfn.XLOOKUP(A28,'Line productivity'!$C$2:$C$39,'Line productivity'!$D$2:$D$39,,0)</f>
        <v>Mac</v>
      </c>
    </row>
    <row r="29" spans="1:14">
      <c r="A29">
        <v>422137</v>
      </c>
      <c r="B29" t="str">
        <f>_xlfn.XLOOKUP(A29,'Line productivity'!$C$2:$C$39,'Line productivity'!$D$2:$D$39,,0)</f>
        <v>Dee</v>
      </c>
      <c r="J29">
        <v>30</v>
      </c>
      <c r="L29">
        <v>15</v>
      </c>
    </row>
    <row r="30" spans="1:14">
      <c r="A30">
        <v>422138</v>
      </c>
      <c r="B30" t="str">
        <f>_xlfn.XLOOKUP(A30,'Line productivity'!$C$2:$C$39,'Line productivity'!$D$2:$D$39,,0)</f>
        <v>Dee</v>
      </c>
      <c r="E30">
        <v>20</v>
      </c>
    </row>
    <row r="31" spans="1:14">
      <c r="A31">
        <v>422139</v>
      </c>
      <c r="B31" t="str">
        <f>_xlfn.XLOOKUP(A31,'Line productivity'!$C$2:$C$39,'Line productivity'!$D$2:$D$39,,0)</f>
        <v>Dee</v>
      </c>
      <c r="F31">
        <v>20</v>
      </c>
      <c r="H31">
        <v>15</v>
      </c>
    </row>
    <row r="32" spans="1:14">
      <c r="A32">
        <v>422140</v>
      </c>
      <c r="B32" t="str">
        <f>_xlfn.XLOOKUP(A32,'Line productivity'!$C$2:$C$39,'Line productivity'!$D$2:$D$39,,0)</f>
        <v>Dee</v>
      </c>
      <c r="H32">
        <v>50</v>
      </c>
      <c r="M32">
        <v>13</v>
      </c>
    </row>
    <row r="33" spans="1:14">
      <c r="A33">
        <v>422141</v>
      </c>
      <c r="B33" t="str">
        <f>_xlfn.XLOOKUP(A33,'Line productivity'!$C$2:$C$39,'Line productivity'!$D$2:$D$39,,0)</f>
        <v>Dennis</v>
      </c>
      <c r="N33">
        <v>7</v>
      </c>
    </row>
    <row r="34" spans="1:14">
      <c r="A34">
        <v>422142</v>
      </c>
      <c r="B34" t="str">
        <f>_xlfn.XLOOKUP(A34,'Line productivity'!$C$2:$C$39,'Line productivity'!$D$2:$D$39,,0)</f>
        <v>Dennis</v>
      </c>
      <c r="H34">
        <v>30</v>
      </c>
    </row>
    <row r="35" spans="1:14">
      <c r="A35">
        <v>422143</v>
      </c>
      <c r="B35" t="str">
        <f>_xlfn.XLOOKUP(A35,'Line productivity'!$C$2:$C$39,'Line productivity'!$D$2:$D$39,,0)</f>
        <v>Dennis</v>
      </c>
      <c r="H35">
        <v>40</v>
      </c>
      <c r="I35">
        <v>18</v>
      </c>
    </row>
    <row r="36" spans="1:14">
      <c r="A36">
        <v>422144</v>
      </c>
      <c r="B36" t="str">
        <f>_xlfn.XLOOKUP(A36,'Line productivity'!$C$2:$C$39,'Line productivity'!$D$2:$D$39,,0)</f>
        <v>Dennis</v>
      </c>
      <c r="H36">
        <v>30</v>
      </c>
      <c r="J36">
        <v>24</v>
      </c>
    </row>
    <row r="37" spans="1:14">
      <c r="A37">
        <v>422145</v>
      </c>
      <c r="B37" t="str">
        <f>_xlfn.XLOOKUP(A37,'Line productivity'!$C$2:$C$39,'Line productivity'!$D$2:$D$39,,0)</f>
        <v>Charlie</v>
      </c>
      <c r="E37">
        <v>22</v>
      </c>
    </row>
    <row r="38" spans="1:14">
      <c r="A38">
        <v>422146</v>
      </c>
      <c r="B38" t="str">
        <f>_xlfn.XLOOKUP(A38,'Line productivity'!$C$2:$C$39,'Line productivity'!$D$2:$D$39,,0)</f>
        <v>Charlie</v>
      </c>
      <c r="H38">
        <v>30</v>
      </c>
      <c r="I38">
        <v>25</v>
      </c>
      <c r="N38">
        <v>7</v>
      </c>
    </row>
    <row r="39" spans="1:14">
      <c r="A39">
        <v>422147</v>
      </c>
      <c r="B39" t="str">
        <f>_xlfn.XLOOKUP(A39,'Line productivity'!$C$2:$C$39,'Line productivity'!$D$2:$D$39,,0)</f>
        <v>Charlie</v>
      </c>
      <c r="F39">
        <v>17</v>
      </c>
      <c r="H39">
        <v>60</v>
      </c>
      <c r="I39">
        <v>30</v>
      </c>
    </row>
    <row r="40" spans="1:14">
      <c r="A40">
        <v>422148</v>
      </c>
      <c r="B40" t="str">
        <f>_xlfn.XLOOKUP(A40,'Line productivity'!$C$2:$C$39,'Line productivity'!$D$2:$D$39,,0)</f>
        <v>Mac</v>
      </c>
      <c r="F40">
        <v>25</v>
      </c>
      <c r="J40">
        <v>7</v>
      </c>
    </row>
  </sheetData>
  <mergeCells count="1">
    <mergeCell ref="C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E418-DF70-4C6E-84CE-A917A06C98B0}">
  <dimension ref="B32:G37"/>
  <sheetViews>
    <sheetView showGridLines="0" tabSelected="1" zoomScale="54" zoomScaleNormal="54" workbookViewId="0">
      <selection activeCell="I34" sqref="I34"/>
    </sheetView>
  </sheetViews>
  <sheetFormatPr defaultRowHeight="13.5"/>
  <cols>
    <col min="1" max="1" width="1.5625" customWidth="1"/>
    <col min="2" max="2" width="8.6875" customWidth="1"/>
    <col min="3" max="3" width="17.75" bestFit="1" customWidth="1"/>
    <col min="4" max="5" width="9" customWidth="1"/>
    <col min="7" max="7" width="16.1875" bestFit="1" customWidth="1"/>
  </cols>
  <sheetData>
    <row r="32" spans="3:7" hidden="1">
      <c r="C32" cm="1">
        <f t="array" ref="C32:G33">TRANSPOSE('Downtime factors'!$A$2:$B$6)</f>
        <v>6</v>
      </c>
      <c r="D32">
        <v>7</v>
      </c>
      <c r="E32">
        <v>4</v>
      </c>
      <c r="F32">
        <v>2</v>
      </c>
      <c r="G32">
        <v>8</v>
      </c>
    </row>
    <row r="33" spans="2:7" ht="27.75">
      <c r="C33" s="11" t="str">
        <v>Machine adjustment</v>
      </c>
      <c r="D33" s="9" t="str">
        <v>Machine failure</v>
      </c>
      <c r="E33" s="9" t="str">
        <v>Inventory shortage</v>
      </c>
      <c r="F33" s="11" t="str">
        <v>Batch change</v>
      </c>
      <c r="G33" s="11" t="str">
        <v>Batch coding error</v>
      </c>
    </row>
    <row r="34" spans="2:7" ht="13.9">
      <c r="B34" s="13" t="s">
        <v>40</v>
      </c>
      <c r="C34" s="10">
        <f>SUMIFS(INDEX('Line downtime'!$C$3:$N$40,,MATCH(Dashboard!C$32,'Line downtime'!$C$2:$N$2,0)),'Line downtime'!$B$3:$B$40,Dashboard!$B34)</f>
        <v>118</v>
      </c>
      <c r="D34" s="10">
        <f>SUMIFS(INDEX('Line downtime'!$C$3:$N$40,,MATCH(Dashboard!D$32,'Line downtime'!$C$2:$N$2,0)),'Line downtime'!$B$3:$B$40,Dashboard!$B34)</f>
        <v>85</v>
      </c>
      <c r="E34" s="10">
        <f>SUMIFS(INDEX('Line downtime'!$C$3:$N$40,,MATCH(Dashboard!E$32,'Line downtime'!$C$2:$N$2,0)),'Line downtime'!$B$3:$B$40,Dashboard!$B34)</f>
        <v>17</v>
      </c>
      <c r="F34" s="10">
        <f>SUMIFS(INDEX('Line downtime'!$C$3:$N$40,,MATCH(Dashboard!F$32,'Line downtime'!$C$2:$N$2,0)),'Line downtime'!$B$3:$B$40,Dashboard!$B34)</f>
        <v>10</v>
      </c>
      <c r="G34" s="10">
        <f>SUMIFS(INDEX('Line downtime'!$C$3:$N$40,,MATCH(Dashboard!G$32,'Line downtime'!$C$2:$N$2,0)),'Line downtime'!$B$3:$B$40,Dashboard!$B34)</f>
        <v>44</v>
      </c>
    </row>
    <row r="35" spans="2:7" ht="13.9">
      <c r="B35" s="13" t="s">
        <v>41</v>
      </c>
      <c r="C35" s="10">
        <f>SUMIFS(INDEX('Line downtime'!$C$3:$N$40,,MATCH(Dashboard!C$32,'Line downtime'!$C$2:$N$2,0)),'Line downtime'!$B$3:$B$40,Dashboard!$B35)</f>
        <v>79</v>
      </c>
      <c r="D35" s="10">
        <f>SUMIFS(INDEX('Line downtime'!$C$3:$N$40,,MATCH(Dashboard!D$32,'Line downtime'!$C$2:$N$2,0)),'Line downtime'!$B$3:$B$40,Dashboard!$B35)</f>
        <v>36</v>
      </c>
      <c r="E35" s="10">
        <f>SUMIFS(INDEX('Line downtime'!$C$3:$N$40,,MATCH(Dashboard!E$32,'Line downtime'!$C$2:$N$2,0)),'Line downtime'!$B$3:$B$40,Dashboard!$B35)</f>
        <v>85</v>
      </c>
      <c r="F35" s="10">
        <f>SUMIFS(INDEX('Line downtime'!$C$3:$N$40,,MATCH(Dashboard!F$32,'Line downtime'!$C$2:$N$2,0)),'Line downtime'!$B$3:$B$40,Dashboard!$B35)</f>
        <v>20</v>
      </c>
      <c r="G35" s="10">
        <f>SUMIFS(INDEX('Line downtime'!$C$3:$N$40,,MATCH(Dashboard!G$32,'Line downtime'!$C$2:$N$2,0)),'Line downtime'!$B$3:$B$40,Dashboard!$B35)</f>
        <v>30</v>
      </c>
    </row>
    <row r="36" spans="2:7" ht="13.9">
      <c r="B36" s="13" t="s">
        <v>42</v>
      </c>
      <c r="C36" s="10">
        <f>SUMIFS(INDEX('Line downtime'!$C$3:$N$40,,MATCH(Dashboard!C$32,'Line downtime'!$C$2:$N$2,0)),'Line downtime'!$B$3:$B$40,Dashboard!$B36)</f>
        <v>120</v>
      </c>
      <c r="D36" s="10">
        <f>SUMIFS(INDEX('Line downtime'!$C$3:$N$40,,MATCH(Dashboard!D$32,'Line downtime'!$C$2:$N$2,0)),'Line downtime'!$B$3:$B$40,Dashboard!$B36)</f>
        <v>88</v>
      </c>
      <c r="E36" s="10">
        <f>SUMIFS(INDEX('Line downtime'!$C$3:$N$40,,MATCH(Dashboard!E$32,'Line downtime'!$C$2:$N$2,0)),'Line downtime'!$B$3:$B$40,Dashboard!$B36)</f>
        <v>43</v>
      </c>
      <c r="F36" s="10">
        <f>SUMIFS(INDEX('Line downtime'!$C$3:$N$40,,MATCH(Dashboard!F$32,'Line downtime'!$C$2:$N$2,0)),'Line downtime'!$B$3:$B$40,Dashboard!$B36)</f>
        <v>0</v>
      </c>
      <c r="G36" s="10">
        <f>SUMIFS(INDEX('Line downtime'!$C$3:$N$40,,MATCH(Dashboard!G$32,'Line downtime'!$C$2:$N$2,0)),'Line downtime'!$B$3:$B$40,Dashboard!$B36)</f>
        <v>24</v>
      </c>
    </row>
    <row r="37" spans="2:7" ht="13.9">
      <c r="B37" s="13" t="s">
        <v>43</v>
      </c>
      <c r="C37" s="10">
        <f>SUMIFS(INDEX('Line downtime'!$C$3:$N$40,,MATCH(Dashboard!C$32,'Line downtime'!$C$2:$N$2,0)),'Line downtime'!$B$3:$B$40,Dashboard!$B37)</f>
        <v>15</v>
      </c>
      <c r="D37" s="10">
        <f>SUMIFS(INDEX('Line downtime'!$C$3:$N$40,,MATCH(Dashboard!D$32,'Line downtime'!$C$2:$N$2,0)),'Line downtime'!$B$3:$B$40,Dashboard!$B37)</f>
        <v>45</v>
      </c>
      <c r="E37" s="10">
        <f>SUMIFS(INDEX('Line downtime'!$C$3:$N$40,,MATCH(Dashboard!E$32,'Line downtime'!$C$2:$N$2,0)),'Line downtime'!$B$3:$B$40,Dashboard!$B37)</f>
        <v>80</v>
      </c>
      <c r="F37" s="10">
        <f>SUMIFS(INDEX('Line downtime'!$C$3:$N$40,,MATCH(Dashboard!F$32,'Line downtime'!$C$2:$N$2,0)),'Line downtime'!$B$3:$B$40,Dashboard!$B37)</f>
        <v>130</v>
      </c>
      <c r="G37" s="10">
        <f>SUMIFS(INDEX('Line downtime'!$C$3:$N$40,,MATCH(Dashboard!G$32,'Line downtime'!$C$2:$N$2,0)),'Line downtime'!$B$3:$B$40,Dashboard!$B37)</f>
        <v>47</v>
      </c>
    </row>
  </sheetData>
  <conditionalFormatting sqref="C34:G37">
    <cfRule type="colorScale" priority="1">
      <colorScale>
        <cfvo type="min"/>
        <cfvo type="percentile" val="50"/>
        <cfvo type="max"/>
        <color theme="3" tint="0.89999084444715716"/>
        <color theme="3" tint="0.749992370372631"/>
        <color theme="3" tint="9.9978637043366805E-2"/>
      </colorScale>
    </cfRule>
    <cfRule type="colorScale" priority="2">
      <colorScale>
        <cfvo type="min"/>
        <cfvo type="percentile" val="50"/>
        <cfvo type="max"/>
        <color theme="3" tint="0.89999084444715716"/>
        <color theme="3" tint="0.749992370372631"/>
        <color theme="3" tint="0.249977111117893"/>
      </colorScale>
    </cfRule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Line productivity</vt:lpstr>
      <vt:lpstr>Line productivity worksheet 2</vt:lpstr>
      <vt:lpstr>Products</vt:lpstr>
      <vt:lpstr>Downtime factors</vt:lpstr>
      <vt:lpstr>Line downtime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goxai Osaruonamen</cp:lastModifiedBy>
  <dcterms:created xsi:type="dcterms:W3CDTF">2024-08-19T19:52:48Z</dcterms:created>
  <dcterms:modified xsi:type="dcterms:W3CDTF">2024-11-15T19:35:14Z</dcterms:modified>
</cp:coreProperties>
</file>